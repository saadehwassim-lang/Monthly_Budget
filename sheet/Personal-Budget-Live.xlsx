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actions" sheetId="2" state="visible" r:id="rId4"/>
    <sheet name="Monthly" sheetId="3" state="visible" r:id="rId5"/>
    <sheet name="Budget vs Actual" sheetId="4" state="visible" r:id="rId6"/>
    <sheet name="Catego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<sst xmlns="http://schemas.openxmlformats.org/spreadsheetml/2006/main" count="407" uniqueCount="115">
  <si>
    <t xml:space="preserve">Personal Budget</t>
  </si>
  <si>
    <t xml:space="preserve">Monthly</t>
  </si>
  <si>
    <t xml:space="preserve">Your layout, unchanged — except the month columns now fill themselves from Transactions.</t>
  </si>
  <si>
    <t xml:space="preserve">Edit column D (yellow) to set each segment's monthly budget. Nothing else needs typing.</t>
  </si>
  <si>
    <t xml:space="preserve">Budget vs Actual</t>
  </si>
  <si>
    <t xml:space="preserve">Budget against this month's spending, per segment, with OVER / Close / OK.</t>
  </si>
  <si>
    <t xml:space="preserve">Transactions</t>
  </si>
  <si>
    <t xml:space="preserve">The log. The phone app appends here. You never type in it.</t>
  </si>
  <si>
    <t xml:space="preserve">Categories</t>
  </si>
  <si>
    <t xml:space="preserve">What the app shows as buttons, mirrored from Monthly.</t>
  </si>
  <si>
    <t xml:space="preserve">Yellow cells</t>
  </si>
  <si>
    <t xml:space="preserve">The only ones you edit: the year, the month on Budget vs Actual, and the budgets.</t>
  </si>
  <si>
    <t xml:space="preserve">Do not</t>
  </si>
  <si>
    <t xml:space="preserve">Rename tabs, reorder columns, or insert rows above a header — the app matches on name.</t>
  </si>
  <si>
    <t xml:space="preserve">Where the numbers</t>
  </si>
  <si>
    <t xml:space="preserve">Every month figure is a SUMIFS over Transactions matching Category, Segment,</t>
  </si>
  <si>
    <t xml:space="preserve">come from</t>
  </si>
  <si>
    <t xml:space="preserve">Month and Year. Log something on the phone and this recalculates on its own.</t>
  </si>
  <si>
    <t xml:space="preserve">Row Key</t>
  </si>
  <si>
    <t xml:space="preserve">Date</t>
  </si>
  <si>
    <t xml:space="preserve">Time</t>
  </si>
  <si>
    <t xml:space="preserve">Who</t>
  </si>
  <si>
    <t xml:space="preserve">Amount</t>
  </si>
  <si>
    <t xml:space="preserve">Currency</t>
  </si>
  <si>
    <t xml:space="preserve">Category</t>
  </si>
  <si>
    <t xml:space="preserve">Segment</t>
  </si>
  <si>
    <t xml:space="preserve">Note</t>
  </si>
  <si>
    <t xml:space="preserve">Month</t>
  </si>
  <si>
    <t xml:space="preserve">Year</t>
  </si>
  <si>
    <t xml:space="preserve">Logged At</t>
  </si>
  <si>
    <t xml:space="preserve">2026-08-27-Wassim-1756315500000-k3f9</t>
  </si>
  <si>
    <t xml:space="preserve">2026-08-27</t>
  </si>
  <si>
    <t xml:space="preserve">22:05</t>
  </si>
  <si>
    <t xml:space="preserve">Wassim</t>
  </si>
  <si>
    <t xml:space="preserve">AED</t>
  </si>
  <si>
    <t xml:space="preserve">Home Expenses</t>
  </si>
  <si>
    <t xml:space="preserve">Food Delivery</t>
  </si>
  <si>
    <t xml:space="preserve">Talabat</t>
  </si>
  <si>
    <t xml:space="preserve">Aug</t>
  </si>
  <si>
    <t xml:space="preserve">2026-08-27T18:05:00Z</t>
  </si>
  <si>
    <t xml:space="preserve">↑ one example row. Delete it once real entries arrive. The app appends below.</t>
  </si>
  <si>
    <t xml:space="preserve">← every month column below reads this year from Transactions</t>
  </si>
  <si>
    <t xml:space="preserve">Index</t>
  </si>
  <si>
    <t xml:space="preserve">Summary</t>
  </si>
  <si>
    <t xml:space="preserve">Monthly expected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</si>
  <si>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</si>
  <si>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</si>
  <si>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</si>
  <si>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</si>
  <si>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</si>
  <si>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</si>
  <si>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</si>
  <si>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Sep</t>
  </si>
  <si>
    <t xml:space="preserve">Oct</t>
  </si>
  <si>
    <t xml:space="preserve">Nov</t>
  </si>
  <si>
    <t xml:space="preserve">Dec</t>
  </si>
  <si>
    <t xml:space="preserve">Actual YTD</t>
  </si>
  <si>
    <t xml:space="preserve">Expected / year</t>
  </si>
  <si>
    <t xml:space="preserve">Jamela &amp; Wassim</t>
  </si>
  <si>
    <t xml:space="preserve">Total Home Expenses</t>
  </si>
  <si>
    <t xml:space="preserve">Total Transportation</t>
  </si>
  <si>
    <t xml:space="preserve">Total Personal</t>
  </si>
  <si>
    <t xml:space="preserve">Total Travel</t>
  </si>
  <si>
    <t xml:space="preserve">Total Investment</t>
  </si>
  <si>
    <t xml:space="preserve">Total Expenses</t>
  </si>
  <si>
    <t xml:space="preserve">Mortgage/Rent</t>
  </si>
  <si>
    <t xml:space="preserve">Phone Bills</t>
  </si>
  <si>
    <t xml:space="preserve">Electricity and Water Bill</t>
  </si>
  <si>
    <t xml:space="preserve">Gas Bill</t>
  </si>
  <si>
    <t xml:space="preserve">Cable and Internet Bill</t>
  </si>
  <si>
    <t xml:space="preserve">Cleaners</t>
  </si>
  <si>
    <t xml:space="preserve">Home Supplies</t>
  </si>
  <si>
    <t xml:space="preserve">Water</t>
  </si>
  <si>
    <t xml:space="preserve">Laundry</t>
  </si>
  <si>
    <t xml:space="preserve">Subscription</t>
  </si>
  <si>
    <t xml:space="preserve">Meal Plan</t>
  </si>
  <si>
    <t xml:space="preserve">Other Home</t>
  </si>
  <si>
    <t xml:space="preserve">Transportation</t>
  </si>
  <si>
    <t xml:space="preserve">Car Loan/Rent</t>
  </si>
  <si>
    <t xml:space="preserve">Fuel/Wash</t>
  </si>
  <si>
    <t xml:space="preserve">Maintenance</t>
  </si>
  <si>
    <t xml:space="preserve">Insurance</t>
  </si>
  <si>
    <t xml:space="preserve">Salik and Parking</t>
  </si>
  <si>
    <t xml:space="preserve">Repairs</t>
  </si>
  <si>
    <t xml:space="preserve">Registration</t>
  </si>
  <si>
    <t xml:space="preserve">License</t>
  </si>
  <si>
    <t xml:space="preserve">Others Transportation</t>
  </si>
  <si>
    <t xml:space="preserve">Personal</t>
  </si>
  <si>
    <t xml:space="preserve">Gym</t>
  </si>
  <si>
    <t xml:space="preserve">Salon</t>
  </si>
  <si>
    <t xml:space="preserve">Clothing</t>
  </si>
  <si>
    <t xml:space="preserve">Self Care</t>
  </si>
  <si>
    <t xml:space="preserve">Outing</t>
  </si>
  <si>
    <t xml:space="preserve">Outing Wassim and Jamela</t>
  </si>
  <si>
    <t xml:space="preserve">Travel</t>
  </si>
  <si>
    <t xml:space="preserve">Lebanon Ticket</t>
  </si>
  <si>
    <t xml:space="preserve">Lebanon Travel</t>
  </si>
  <si>
    <t xml:space="preserve">Vacation Ticket</t>
  </si>
  <si>
    <t xml:space="preserve">Vacation Travel</t>
  </si>
  <si>
    <t xml:space="preserve">Others Travel</t>
  </si>
  <si>
    <t xml:space="preserve">Investment</t>
  </si>
  <si>
    <t xml:space="preserve">IBKR</t>
  </si>
  <si>
    <t xml:space="preserve">Gold</t>
  </si>
  <si>
    <t xml:space="preserve">Silver</t>
  </si>
  <si>
    <t xml:space="preserve">Other Investment</t>
  </si>
  <si>
    <t xml:space="preserve">← type any month</t>
  </si>
  <si>
    <t xml:space="preserve">Budget</t>
  </si>
  <si>
    <t xml:space="preserve">Spent</t>
  </si>
  <si>
    <t xml:space="preserve">Left</t>
  </si>
  <si>
    <t xml:space="preserve">Used</t>
  </si>
  <si>
    <t xml:space="preserve">Status</t>
  </si>
  <si>
    <t xml:space="preserve">Total</t>
  </si>
  <si>
    <t xml:space="preserve">Monthly budget</t>
  </si>
  <si>
    <t xml:space="preserve">The app reads this tab, so its buttons always match your sheet.</t>
  </si>
  <si>
    <t xml:space="preserve">Budgets are edited in Monthly (column D). This mirrors them.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</si>
</sst>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4"/>
  </cols>
  <sheetData>
    <row r="1" customFormat="false" ht="16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/>
      <c r="B4" s="2" t="s">
        <v>3</v>
      </c>
    </row>
    <row r="5" customFormat="false" ht="15" hidden="false" customHeight="false" outlineLevel="0" collapsed="false">
      <c r="A5" s="3" t="s">
        <v>4</v>
      </c>
      <c r="B5" s="2" t="s">
        <v>5</v>
      </c>
    </row>
    <row r="6" customFormat="false" ht="15" hidden="false" customHeight="false" outlineLevel="0" collapsed="false">
      <c r="A6" s="3" t="s">
        <v>6</v>
      </c>
      <c r="B6" s="2" t="s">
        <v>7</v>
      </c>
    </row>
    <row r="7" customFormat="false" ht="15" hidden="false" customHeight="false" outlineLevel="0" collapsed="false">
      <c r="A7" s="3" t="s">
        <v>8</v>
      </c>
      <c r="B7" s="2" t="s">
        <v>9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3" t="s">
        <v>10</v>
      </c>
      <c r="B9" s="2" t="s">
        <v>11</v>
      </c>
    </row>
    <row r="10" customFormat="false" ht="15" hidden="false" customHeight="false" outlineLevel="0" collapsed="false">
      <c r="A10" s="3" t="s">
        <v>12</v>
      </c>
      <c r="B10" s="2" t="s">
        <v>13</v>
      </c>
    </row>
    <row r="11" customFormat="false" ht="15" hidden="false" customHeight="false" outlineLevel="0" collapsed="false">
      <c r="A11" s="3"/>
      <c r="B11" s="2"/>
    </row>
    <row r="12" customFormat="false" ht="15" hidden="false" customHeight="false" outlineLevel="0" collapsed="false">
      <c r="A12" s="3" t="s">
        <v>14</v>
      </c>
      <c r="B12" s="2" t="s">
        <v>15</v>
      </c>
    </row>
    <row r="13" customFormat="false" ht="15" hidden="false" customHeight="false" outlineLevel="0" collapsed="false">
      <c r="A13" s="3" t="s">
        <v>16</v>
      </c>
      <c r="B1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1" min="10" style="0" width="8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5" t="n">
        <v>245.5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n">
        <v>2026</v>
      </c>
      <c r="L2" s="2" t="s">
        <v>39</v>
      </c>
    </row>
    <row r="3" customFormat="false" ht="15" hidden="false" customHeight="false" outlineLevel="0" collapsed="false">
      <c r="A3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16" min="5" style="0" width="11"/>
    <col collapsed="false" customWidth="true" hidden="false" outlineLevel="0" max="17" min="17" style="0" width="13"/>
    <col collapsed="false" customWidth="true" hidden="false" outlineLevel="0" max="18" min="18" style="0" width="15"/>
  </cols>
  <sheetData>
    <row r="1" customFormat="false" ht="15" hidden="false" customHeight="false" outlineLevel="0" collapsed="false">
      <c r="A1" s="3" t="s">
        <v>28</v>
      </c>
      <c r="B1" s="7" t="n">
        <v>2026</v>
      </c>
      <c r="D1" s="6" t="s">
        <v>41</v>
      </c>
    </row>
    <row r="2" customFormat="false" ht="15" hidden="false" customHeight="false" outlineLevel="0" collapsed="false">
      <c r="A2" s="8" t="s">
        <v>42</v>
      </c>
      <c r="B2" s="8" t="s">
        <v>24</v>
      </c>
      <c r="C2" s="8" t="s">
        <v>43</v>
      </c>
      <c r="D2" s="8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  <c r="J2" s="9" t="s">
        <v>50</v>
      </c>
      <c r="K2" s="9" t="s">
        <v>51</v>
      </c>
      <c r="L2" s="9" t="s">
        <v>38</v>
      </c>
      <c r="M2" s="9" t="s">
        <v>52</v>
      </c>
      <c r="N2" s="9" t="s">
        <v>53</v>
      </c>
      <c r="O2" s="9" t="s">
        <v>54</v>
      </c>
      <c r="P2" s="9" t="s">
        <v>55</v>
      </c>
      <c r="Q2" s="8" t="s">
        <v>56</v>
      </c>
      <c r="R2" s="8" t="s">
        <v>57</v>
      </c>
    </row>
    <row r="3" customFormat="false" ht="15" hidden="false" customHeight="false" outlineLevel="0" collapsed="false">
      <c r="A3" s="2" t="n">
        <v>1</v>
      </c>
      <c r="B3" s="2" t="s">
        <v>58</v>
      </c>
      <c r="C3" s="3" t="s">
        <v>59</v>
      </c>
      <c r="D3" s="5" t="n">
        <f aca="false">D25</f>
        <v>7747.76</v>
      </c>
      <c r="E3" s="5" t="n">
        <f aca="false">E25</f>
        <v>0</v>
      </c>
      <c r="F3" s="5" t="n">
        <f aca="false">F25</f>
        <v>0</v>
      </c>
      <c r="G3" s="5" t="n">
        <f aca="false">G25</f>
        <v>0</v>
      </c>
      <c r="H3" s="5" t="n">
        <f aca="false">H25</f>
        <v>0</v>
      </c>
      <c r="I3" s="5" t="n">
        <f aca="false">I25</f>
        <v>0</v>
      </c>
      <c r="J3" s="5" t="n">
        <f aca="false">J25</f>
        <v>0</v>
      </c>
      <c r="K3" s="5" t="n">
        <f aca="false">K25</f>
        <v>0</v>
      </c>
      <c r="L3" s="5" t="n">
        <f aca="false">L25</f>
        <v>245.5</v>
      </c>
      <c r="M3" s="5" t="n">
        <f aca="false">M25</f>
        <v>0</v>
      </c>
      <c r="N3" s="5" t="n">
        <f aca="false">N25</f>
        <v>0</v>
      </c>
      <c r="O3" s="5" t="n">
        <f aca="false">O25</f>
        <v>0</v>
      </c>
      <c r="P3" s="5" t="n">
        <f aca="false">P25</f>
        <v>0</v>
      </c>
      <c r="Q3" s="5" t="n">
        <f aca="false">Q25</f>
        <v>245.5</v>
      </c>
      <c r="R3" s="5" t="n">
        <f aca="false">R25</f>
        <v>92973.12</v>
      </c>
    </row>
    <row r="4" customFormat="false" ht="15" hidden="false" customHeight="false" outlineLevel="0" collapsed="false">
      <c r="A4" s="2" t="n">
        <v>2</v>
      </c>
      <c r="B4" s="2" t="s">
        <v>58</v>
      </c>
      <c r="C4" s="3" t="s">
        <v>60</v>
      </c>
      <c r="D4" s="5" t="n">
        <f aca="false">D38</f>
        <v>2310</v>
      </c>
      <c r="E4" s="5" t="n">
        <f aca="false">E38</f>
        <v>0</v>
      </c>
      <c r="F4" s="5" t="n">
        <f aca="false">F38</f>
        <v>0</v>
      </c>
      <c r="G4" s="5" t="n">
        <f aca="false">G38</f>
        <v>0</v>
      </c>
      <c r="H4" s="5" t="n">
        <f aca="false">H38</f>
        <v>0</v>
      </c>
      <c r="I4" s="5" t="n">
        <f aca="false">I38</f>
        <v>0</v>
      </c>
      <c r="J4" s="5" t="n">
        <f aca="false">J38</f>
        <v>0</v>
      </c>
      <c r="K4" s="5" t="n">
        <f aca="false">K38</f>
        <v>0</v>
      </c>
      <c r="L4" s="5" t="n">
        <f aca="false">L38</f>
        <v>0</v>
      </c>
      <c r="M4" s="5" t="n">
        <f aca="false">M38</f>
        <v>0</v>
      </c>
      <c r="N4" s="5" t="n">
        <f aca="false">N38</f>
        <v>0</v>
      </c>
      <c r="O4" s="5" t="n">
        <f aca="false">O38</f>
        <v>0</v>
      </c>
      <c r="P4" s="5" t="n">
        <f aca="false">P38</f>
        <v>0</v>
      </c>
      <c r="Q4" s="5" t="n">
        <f aca="false">Q38</f>
        <v>0</v>
      </c>
      <c r="R4" s="5" t="n">
        <f aca="false">R38</f>
        <v>27720</v>
      </c>
    </row>
    <row r="5" customFormat="false" ht="15" hidden="false" customHeight="false" outlineLevel="0" collapsed="false">
      <c r="A5" s="2" t="n">
        <v>3</v>
      </c>
      <c r="B5" s="2" t="s">
        <v>58</v>
      </c>
      <c r="C5" s="3" t="s">
        <v>61</v>
      </c>
      <c r="D5" s="5" t="n">
        <f aca="false">D48</f>
        <v>3550</v>
      </c>
      <c r="E5" s="5" t="n">
        <f aca="false">E48</f>
        <v>0</v>
      </c>
      <c r="F5" s="5" t="n">
        <f aca="false">F48</f>
        <v>0</v>
      </c>
      <c r="G5" s="5" t="n">
        <f aca="false">G48</f>
        <v>0</v>
      </c>
      <c r="H5" s="5" t="n">
        <f aca="false">H48</f>
        <v>0</v>
      </c>
      <c r="I5" s="5" t="n">
        <f aca="false">I48</f>
        <v>0</v>
      </c>
      <c r="J5" s="5" t="n">
        <f aca="false">J48</f>
        <v>0</v>
      </c>
      <c r="K5" s="5" t="n">
        <f aca="false">K48</f>
        <v>0</v>
      </c>
      <c r="L5" s="5" t="n">
        <f aca="false">L48</f>
        <v>0</v>
      </c>
      <c r="M5" s="5" t="n">
        <f aca="false">M48</f>
        <v>0</v>
      </c>
      <c r="N5" s="5" t="n">
        <f aca="false">N48</f>
        <v>0</v>
      </c>
      <c r="O5" s="5" t="n">
        <f aca="false">O48</f>
        <v>0</v>
      </c>
      <c r="P5" s="5" t="n">
        <f aca="false">P48</f>
        <v>0</v>
      </c>
      <c r="Q5" s="5" t="n">
        <f aca="false">Q48</f>
        <v>0</v>
      </c>
      <c r="R5" s="5" t="n">
        <f aca="false">R48</f>
        <v>42600</v>
      </c>
    </row>
    <row r="6" customFormat="false" ht="15" hidden="false" customHeight="false" outlineLevel="0" collapsed="false">
      <c r="A6" s="2" t="n">
        <v>4</v>
      </c>
      <c r="B6" s="2" t="s">
        <v>58</v>
      </c>
      <c r="C6" s="3" t="s">
        <v>62</v>
      </c>
      <c r="D6" s="5" t="n">
        <f aca="false">D57</f>
        <v>1160</v>
      </c>
      <c r="E6" s="5" t="n">
        <f aca="false">E57</f>
        <v>0</v>
      </c>
      <c r="F6" s="5" t="n">
        <f aca="false">F57</f>
        <v>0</v>
      </c>
      <c r="G6" s="5" t="n">
        <f aca="false">G57</f>
        <v>0</v>
      </c>
      <c r="H6" s="5" t="n">
        <f aca="false">H57</f>
        <v>0</v>
      </c>
      <c r="I6" s="5" t="n">
        <f aca="false">I57</f>
        <v>0</v>
      </c>
      <c r="J6" s="5" t="n">
        <f aca="false">J57</f>
        <v>0</v>
      </c>
      <c r="K6" s="5" t="n">
        <f aca="false">K57</f>
        <v>0</v>
      </c>
      <c r="L6" s="5" t="n">
        <f aca="false">L57</f>
        <v>0</v>
      </c>
      <c r="M6" s="5" t="n">
        <f aca="false">M57</f>
        <v>0</v>
      </c>
      <c r="N6" s="5" t="n">
        <f aca="false">N57</f>
        <v>0</v>
      </c>
      <c r="O6" s="5" t="n">
        <f aca="false">O57</f>
        <v>0</v>
      </c>
      <c r="P6" s="5" t="n">
        <f aca="false">P57</f>
        <v>0</v>
      </c>
      <c r="Q6" s="5" t="n">
        <f aca="false">Q57</f>
        <v>0</v>
      </c>
      <c r="R6" s="5" t="n">
        <f aca="false">R57</f>
        <v>13920</v>
      </c>
    </row>
    <row r="7" customFormat="false" ht="15" hidden="false" customHeight="false" outlineLevel="0" collapsed="false">
      <c r="A7" s="2" t="n">
        <v>5</v>
      </c>
      <c r="B7" s="2" t="s">
        <v>58</v>
      </c>
      <c r="C7" s="3" t="s">
        <v>63</v>
      </c>
      <c r="D7" s="5" t="n">
        <f aca="false">D65</f>
        <v>4200</v>
      </c>
      <c r="E7" s="5" t="n">
        <f aca="false">E65</f>
        <v>0</v>
      </c>
      <c r="F7" s="5" t="n">
        <f aca="false">F65</f>
        <v>0</v>
      </c>
      <c r="G7" s="5" t="n">
        <f aca="false">G65</f>
        <v>0</v>
      </c>
      <c r="H7" s="5" t="n">
        <f aca="false">H65</f>
        <v>0</v>
      </c>
      <c r="I7" s="5" t="n">
        <f aca="false">I65</f>
        <v>0</v>
      </c>
      <c r="J7" s="5" t="n">
        <f aca="false">J65</f>
        <v>0</v>
      </c>
      <c r="K7" s="5" t="n">
        <f aca="false">K65</f>
        <v>0</v>
      </c>
      <c r="L7" s="5" t="n">
        <f aca="false">L65</f>
        <v>0</v>
      </c>
      <c r="M7" s="5" t="n">
        <f aca="false">M65</f>
        <v>0</v>
      </c>
      <c r="N7" s="5" t="n">
        <f aca="false">N65</f>
        <v>0</v>
      </c>
      <c r="O7" s="5" t="n">
        <f aca="false">O65</f>
        <v>0</v>
      </c>
      <c r="P7" s="5" t="n">
        <f aca="false">P65</f>
        <v>0</v>
      </c>
      <c r="Q7" s="5" t="n">
        <f aca="false">Q65</f>
        <v>0</v>
      </c>
      <c r="R7" s="5" t="n">
        <f aca="false">R65</f>
        <v>50400</v>
      </c>
    </row>
    <row r="8" customFormat="false" ht="15" hidden="false" customHeight="false" outlineLevel="0" collapsed="false">
      <c r="C8" s="10" t="s">
        <v>64</v>
      </c>
      <c r="D8" s="11" t="n">
        <f aca="false">SUM(D3:D7)</f>
        <v>18967.76</v>
      </c>
      <c r="E8" s="11" t="n">
        <f aca="false">SUM(E3:E7)</f>
        <v>0</v>
      </c>
      <c r="F8" s="11" t="n">
        <f aca="false">SUM(F3:F7)</f>
        <v>0</v>
      </c>
      <c r="G8" s="11" t="n">
        <f aca="false">SUM(G3:G7)</f>
        <v>0</v>
      </c>
      <c r="H8" s="11" t="n">
        <f aca="false">SUM(H3:H7)</f>
        <v>0</v>
      </c>
      <c r="I8" s="11" t="n">
        <f aca="false">SUM(I3:I7)</f>
        <v>0</v>
      </c>
      <c r="J8" s="11" t="n">
        <f aca="false">SUM(J3:J7)</f>
        <v>0</v>
      </c>
      <c r="K8" s="11" t="n">
        <f aca="false">SUM(K3:K7)</f>
        <v>0</v>
      </c>
      <c r="L8" s="11" t="n">
        <f aca="false">SUM(L3:L7)</f>
        <v>245.5</v>
      </c>
      <c r="M8" s="11" t="n">
        <f aca="false">SUM(M3:M7)</f>
        <v>0</v>
      </c>
      <c r="N8" s="11" t="n">
        <f aca="false">SUM(N3:N7)</f>
        <v>0</v>
      </c>
      <c r="O8" s="11" t="n">
        <f aca="false">SUM(O3:O7)</f>
        <v>0</v>
      </c>
      <c r="P8" s="11" t="n">
        <f aca="false">SUM(P3:P7)</f>
        <v>0</v>
      </c>
      <c r="Q8" s="11" t="n">
        <f aca="false">SUM(Q3:Q7)</f>
        <v>245.5</v>
      </c>
      <c r="R8" s="11" t="n">
        <f aca="false">SUM(R3:R7)</f>
        <v>227613.12</v>
      </c>
    </row>
    <row r="11" customFormat="false" ht="15" hidden="false" customHeight="false" outlineLevel="0" collapsed="false">
      <c r="A11" s="8" t="s">
        <v>42</v>
      </c>
      <c r="B11" s="8" t="s">
        <v>24</v>
      </c>
      <c r="C11" s="8" t="s">
        <v>35</v>
      </c>
      <c r="D11" s="8" t="s">
        <v>44</v>
      </c>
      <c r="E11" s="9" t="s">
        <v>45</v>
      </c>
      <c r="F11" s="9" t="s">
        <v>46</v>
      </c>
      <c r="G11" s="9" t="s">
        <v>47</v>
      </c>
      <c r="H11" s="9" t="s">
        <v>48</v>
      </c>
      <c r="I11" s="9" t="s">
        <v>49</v>
      </c>
      <c r="J11" s="9" t="s">
        <v>50</v>
      </c>
      <c r="K11" s="9" t="s">
        <v>51</v>
      </c>
      <c r="L11" s="9" t="s">
        <v>38</v>
      </c>
      <c r="M11" s="9" t="s">
        <v>52</v>
      </c>
      <c r="N11" s="9" t="s">
        <v>53</v>
      </c>
      <c r="O11" s="9" t="s">
        <v>54</v>
      </c>
      <c r="P11" s="9" t="s">
        <v>55</v>
      </c>
      <c r="Q11" s="8" t="s">
        <v>56</v>
      </c>
      <c r="R11" s="8" t="s">
        <v>57</v>
      </c>
    </row>
    <row r="12" customFormat="false" ht="15" hidden="false" customHeight="false" outlineLevel="0" collapsed="false">
      <c r="A12" s="2" t="n">
        <v>1</v>
      </c>
      <c r="B12" s="2" t="s">
        <v>35</v>
      </c>
      <c r="C12" s="2" t="s">
        <v>65</v>
      </c>
      <c r="D12" s="12" t="n">
        <v>3465</v>
      </c>
      <c r="E12" s="5" t="n">
        <f aca="false">SUMIFS(Transactions!$E:$E,Transactions!$G:$G,$B12,Transactions!$H:$H,$C12,Transactions!$J:$J,E$11,Transactions!$K:$K,$B$1)</f>
        <v>0</v>
      </c>
      <c r="F12" s="5" t="n">
        <f aca="false">SUMIFS(Transactions!$E:$E,Transactions!$G:$G,$B12,Transactions!$H:$H,$C12,Transactions!$J:$J,F$11,Transactions!$K:$K,$B$1)</f>
        <v>0</v>
      </c>
      <c r="G12" s="5" t="n">
        <f aca="false">SUMIFS(Transactions!$E:$E,Transactions!$G:$G,$B12,Transactions!$H:$H,$C12,Transactions!$J:$J,G$11,Transactions!$K:$K,$B$1)</f>
        <v>0</v>
      </c>
      <c r="H12" s="5" t="n">
        <f aca="false">SUMIFS(Transactions!$E:$E,Transactions!$G:$G,$B12,Transactions!$H:$H,$C12,Transactions!$J:$J,H$11,Transactions!$K:$K,$B$1)</f>
        <v>0</v>
      </c>
      <c r="I12" s="5" t="n">
        <f aca="false">SUMIFS(Transactions!$E:$E,Transactions!$G:$G,$B12,Transactions!$H:$H,$C12,Transactions!$J:$J,I$11,Transactions!$K:$K,$B$1)</f>
        <v>0</v>
      </c>
      <c r="J12" s="5" t="n">
        <f aca="false">SUMIFS(Transactions!$E:$E,Transactions!$G:$G,$B12,Transactions!$H:$H,$C12,Transactions!$J:$J,J$11,Transactions!$K:$K,$B$1)</f>
        <v>0</v>
      </c>
      <c r="K12" s="5" t="n">
        <f aca="false">SUMIFS(Transactions!$E:$E,Transactions!$G:$G,$B12,Transactions!$H:$H,$C12,Transactions!$J:$J,K$11,Transactions!$K:$K,$B$1)</f>
        <v>0</v>
      </c>
      <c r="L12" s="5" t="n">
        <f aca="false">SUMIFS(Transactions!$E:$E,Transactions!$G:$G,$B12,Transactions!$H:$H,$C12,Transactions!$J:$J,L$11,Transactions!$K:$K,$B$1)</f>
        <v>0</v>
      </c>
      <c r="M12" s="5" t="n">
        <f aca="false">SUMIFS(Transactions!$E:$E,Transactions!$G:$G,$B12,Transactions!$H:$H,$C12,Transactions!$J:$J,M$11,Transactions!$K:$K,$B$1)</f>
        <v>0</v>
      </c>
      <c r="N12" s="5" t="n">
        <f aca="false">SUMIFS(Transactions!$E:$E,Transactions!$G:$G,$B12,Transactions!$H:$H,$C12,Transactions!$J:$J,N$11,Transactions!$K:$K,$B$1)</f>
        <v>0</v>
      </c>
      <c r="O12" s="5" t="n">
        <f aca="false">SUMIFS(Transactions!$E:$E,Transactions!$G:$G,$B12,Transactions!$H:$H,$C12,Transactions!$J:$J,O$11,Transactions!$K:$K,$B$1)</f>
        <v>0</v>
      </c>
      <c r="P12" s="5" t="n">
        <f aca="false">SUMIFS(Transactions!$E:$E,Transactions!$G:$G,$B12,Transactions!$H:$H,$C12,Transactions!$J:$J,P$11,Transactions!$K:$K,$B$1)</f>
        <v>0</v>
      </c>
      <c r="Q12" s="5" t="n">
        <f aca="false">SUM(E12:P12)</f>
        <v>0</v>
      </c>
      <c r="R12" s="5" t="n">
        <f aca="false">D12*12</f>
        <v>41580</v>
      </c>
    </row>
    <row r="13" customFormat="false" ht="15" hidden="false" customHeight="false" outlineLevel="0" collapsed="false">
      <c r="A13" s="2" t="n">
        <v>2</v>
      </c>
      <c r="B13" s="2" t="s">
        <v>35</v>
      </c>
      <c r="C13" s="2" t="s">
        <v>66</v>
      </c>
      <c r="D13" s="12" t="n">
        <v>210</v>
      </c>
      <c r="E13" s="5" t="n">
        <f aca="false">SUMIFS(Transactions!$E:$E,Transactions!$G:$G,$B13,Transactions!$H:$H,$C13,Transactions!$J:$J,E$11,Transactions!$K:$K,$B$1)</f>
        <v>0</v>
      </c>
      <c r="F13" s="5" t="n">
        <f aca="false">SUMIFS(Transactions!$E:$E,Transactions!$G:$G,$B13,Transactions!$H:$H,$C13,Transactions!$J:$J,F$11,Transactions!$K:$K,$B$1)</f>
        <v>0</v>
      </c>
      <c r="G13" s="5" t="n">
        <f aca="false">SUMIFS(Transactions!$E:$E,Transactions!$G:$G,$B13,Transactions!$H:$H,$C13,Transactions!$J:$J,G$11,Transactions!$K:$K,$B$1)</f>
        <v>0</v>
      </c>
      <c r="H13" s="5" t="n">
        <f aca="false">SUMIFS(Transactions!$E:$E,Transactions!$G:$G,$B13,Transactions!$H:$H,$C13,Transactions!$J:$J,H$11,Transactions!$K:$K,$B$1)</f>
        <v>0</v>
      </c>
      <c r="I13" s="5" t="n">
        <f aca="false">SUMIFS(Transactions!$E:$E,Transactions!$G:$G,$B13,Transactions!$H:$H,$C13,Transactions!$J:$J,I$11,Transactions!$K:$K,$B$1)</f>
        <v>0</v>
      </c>
      <c r="J13" s="5" t="n">
        <f aca="false">SUMIFS(Transactions!$E:$E,Transactions!$G:$G,$B13,Transactions!$H:$H,$C13,Transactions!$J:$J,J$11,Transactions!$K:$K,$B$1)</f>
        <v>0</v>
      </c>
      <c r="K13" s="5" t="n">
        <f aca="false">SUMIFS(Transactions!$E:$E,Transactions!$G:$G,$B13,Transactions!$H:$H,$C13,Transactions!$J:$J,K$11,Transactions!$K:$K,$B$1)</f>
        <v>0</v>
      </c>
      <c r="L13" s="5" t="n">
        <f aca="false">SUMIFS(Transactions!$E:$E,Transactions!$G:$G,$B13,Transactions!$H:$H,$C13,Transactions!$J:$J,L$11,Transactions!$K:$K,$B$1)</f>
        <v>0</v>
      </c>
      <c r="M13" s="5" t="n">
        <f aca="false">SUMIFS(Transactions!$E:$E,Transactions!$G:$G,$B13,Transactions!$H:$H,$C13,Transactions!$J:$J,M$11,Transactions!$K:$K,$B$1)</f>
        <v>0</v>
      </c>
      <c r="N13" s="5" t="n">
        <f aca="false">SUMIFS(Transactions!$E:$E,Transactions!$G:$G,$B13,Transactions!$H:$H,$C13,Transactions!$J:$J,N$11,Transactions!$K:$K,$B$1)</f>
        <v>0</v>
      </c>
      <c r="O13" s="5" t="n">
        <f aca="false">SUMIFS(Transactions!$E:$E,Transactions!$G:$G,$B13,Transactions!$H:$H,$C13,Transactions!$J:$J,O$11,Transactions!$K:$K,$B$1)</f>
        <v>0</v>
      </c>
      <c r="P13" s="5" t="n">
        <f aca="false">SUMIFS(Transactions!$E:$E,Transactions!$G:$G,$B13,Transactions!$H:$H,$C13,Transactions!$J:$J,P$11,Transactions!$K:$K,$B$1)</f>
        <v>0</v>
      </c>
      <c r="Q13" s="5" t="n">
        <f aca="false">SUM(E13:P13)</f>
        <v>0</v>
      </c>
      <c r="R13" s="5" t="n">
        <f aca="false">D13*12</f>
        <v>2520</v>
      </c>
    </row>
    <row r="14" customFormat="false" ht="15" hidden="false" customHeight="false" outlineLevel="0" collapsed="false">
      <c r="A14" s="2" t="n">
        <v>3</v>
      </c>
      <c r="B14" s="2" t="s">
        <v>35</v>
      </c>
      <c r="C14" s="2" t="s">
        <v>67</v>
      </c>
      <c r="D14" s="12" t="n">
        <v>500</v>
      </c>
      <c r="E14" s="5" t="n">
        <f aca="false">SUMIFS(Transactions!$E:$E,Transactions!$G:$G,$B14,Transactions!$H:$H,$C14,Transactions!$J:$J,E$11,Transactions!$K:$K,$B$1)</f>
        <v>0</v>
      </c>
      <c r="F14" s="5" t="n">
        <f aca="false">SUMIFS(Transactions!$E:$E,Transactions!$G:$G,$B14,Transactions!$H:$H,$C14,Transactions!$J:$J,F$11,Transactions!$K:$K,$B$1)</f>
        <v>0</v>
      </c>
      <c r="G14" s="5" t="n">
        <f aca="false">SUMIFS(Transactions!$E:$E,Transactions!$G:$G,$B14,Transactions!$H:$H,$C14,Transactions!$J:$J,G$11,Transactions!$K:$K,$B$1)</f>
        <v>0</v>
      </c>
      <c r="H14" s="5" t="n">
        <f aca="false">SUMIFS(Transactions!$E:$E,Transactions!$G:$G,$B14,Transactions!$H:$H,$C14,Transactions!$J:$J,H$11,Transactions!$K:$K,$B$1)</f>
        <v>0</v>
      </c>
      <c r="I14" s="5" t="n">
        <f aca="false">SUMIFS(Transactions!$E:$E,Transactions!$G:$G,$B14,Transactions!$H:$H,$C14,Transactions!$J:$J,I$11,Transactions!$K:$K,$B$1)</f>
        <v>0</v>
      </c>
      <c r="J14" s="5" t="n">
        <f aca="false">SUMIFS(Transactions!$E:$E,Transactions!$G:$G,$B14,Transactions!$H:$H,$C14,Transactions!$J:$J,J$11,Transactions!$K:$K,$B$1)</f>
        <v>0</v>
      </c>
      <c r="K14" s="5" t="n">
        <f aca="false">SUMIFS(Transactions!$E:$E,Transactions!$G:$G,$B14,Transactions!$H:$H,$C14,Transactions!$J:$J,K$11,Transactions!$K:$K,$B$1)</f>
        <v>0</v>
      </c>
      <c r="L14" s="5" t="n">
        <f aca="false">SUMIFS(Transactions!$E:$E,Transactions!$G:$G,$B14,Transactions!$H:$H,$C14,Transactions!$J:$J,L$11,Transactions!$K:$K,$B$1)</f>
        <v>0</v>
      </c>
      <c r="M14" s="5" t="n">
        <f aca="false">SUMIFS(Transactions!$E:$E,Transactions!$G:$G,$B14,Transactions!$H:$H,$C14,Transactions!$J:$J,M$11,Transactions!$K:$K,$B$1)</f>
        <v>0</v>
      </c>
      <c r="N14" s="5" t="n">
        <f aca="false">SUMIFS(Transactions!$E:$E,Transactions!$G:$G,$B14,Transactions!$H:$H,$C14,Transactions!$J:$J,N$11,Transactions!$K:$K,$B$1)</f>
        <v>0</v>
      </c>
      <c r="O14" s="5" t="n">
        <f aca="false">SUMIFS(Transactions!$E:$E,Transactions!$G:$G,$B14,Transactions!$H:$H,$C14,Transactions!$J:$J,O$11,Transactions!$K:$K,$B$1)</f>
        <v>0</v>
      </c>
      <c r="P14" s="5" t="n">
        <f aca="false">SUMIFS(Transactions!$E:$E,Transactions!$G:$G,$B14,Transactions!$H:$H,$C14,Transactions!$J:$J,P$11,Transactions!$K:$K,$B$1)</f>
        <v>0</v>
      </c>
      <c r="Q14" s="5" t="n">
        <f aca="false">SUM(E14:P14)</f>
        <v>0</v>
      </c>
      <c r="R14" s="5" t="n">
        <f aca="false">D14*12</f>
        <v>6000</v>
      </c>
    </row>
    <row r="15" customFormat="false" ht="15" hidden="false" customHeight="false" outlineLevel="0" collapsed="false">
      <c r="A15" s="2" t="n">
        <v>4</v>
      </c>
      <c r="B15" s="2" t="s">
        <v>35</v>
      </c>
      <c r="C15" s="2" t="s">
        <v>68</v>
      </c>
      <c r="D15" s="12" t="n">
        <v>30</v>
      </c>
      <c r="E15" s="5" t="n">
        <f aca="false">SUMIFS(Transactions!$E:$E,Transactions!$G:$G,$B15,Transactions!$H:$H,$C15,Transactions!$J:$J,E$11,Transactions!$K:$K,$B$1)</f>
        <v>0</v>
      </c>
      <c r="F15" s="5" t="n">
        <f aca="false">SUMIFS(Transactions!$E:$E,Transactions!$G:$G,$B15,Transactions!$H:$H,$C15,Transactions!$J:$J,F$11,Transactions!$K:$K,$B$1)</f>
        <v>0</v>
      </c>
      <c r="G15" s="5" t="n">
        <f aca="false">SUMIFS(Transactions!$E:$E,Transactions!$G:$G,$B15,Transactions!$H:$H,$C15,Transactions!$J:$J,G$11,Transactions!$K:$K,$B$1)</f>
        <v>0</v>
      </c>
      <c r="H15" s="5" t="n">
        <f aca="false">SUMIFS(Transactions!$E:$E,Transactions!$G:$G,$B15,Transactions!$H:$H,$C15,Transactions!$J:$J,H$11,Transactions!$K:$K,$B$1)</f>
        <v>0</v>
      </c>
      <c r="I15" s="5" t="n">
        <f aca="false">SUMIFS(Transactions!$E:$E,Transactions!$G:$G,$B15,Transactions!$H:$H,$C15,Transactions!$J:$J,I$11,Transactions!$K:$K,$B$1)</f>
        <v>0</v>
      </c>
      <c r="J15" s="5" t="n">
        <f aca="false">SUMIFS(Transactions!$E:$E,Transactions!$G:$G,$B15,Transactions!$H:$H,$C15,Transactions!$J:$J,J$11,Transactions!$K:$K,$B$1)</f>
        <v>0</v>
      </c>
      <c r="K15" s="5" t="n">
        <f aca="false">SUMIFS(Transactions!$E:$E,Transactions!$G:$G,$B15,Transactions!$H:$H,$C15,Transactions!$J:$J,K$11,Transactions!$K:$K,$B$1)</f>
        <v>0</v>
      </c>
      <c r="L15" s="5" t="n">
        <f aca="false">SUMIFS(Transactions!$E:$E,Transactions!$G:$G,$B15,Transactions!$H:$H,$C15,Transactions!$J:$J,L$11,Transactions!$K:$K,$B$1)</f>
        <v>0</v>
      </c>
      <c r="M15" s="5" t="n">
        <f aca="false">SUMIFS(Transactions!$E:$E,Transactions!$G:$G,$B15,Transactions!$H:$H,$C15,Transactions!$J:$J,M$11,Transactions!$K:$K,$B$1)</f>
        <v>0</v>
      </c>
      <c r="N15" s="5" t="n">
        <f aca="false">SUMIFS(Transactions!$E:$E,Transactions!$G:$G,$B15,Transactions!$H:$H,$C15,Transactions!$J:$J,N$11,Transactions!$K:$K,$B$1)</f>
        <v>0</v>
      </c>
      <c r="O15" s="5" t="n">
        <f aca="false">SUMIFS(Transactions!$E:$E,Transactions!$G:$G,$B15,Transactions!$H:$H,$C15,Transactions!$J:$J,O$11,Transactions!$K:$K,$B$1)</f>
        <v>0</v>
      </c>
      <c r="P15" s="5" t="n">
        <f aca="false">SUMIFS(Transactions!$E:$E,Transactions!$G:$G,$B15,Transactions!$H:$H,$C15,Transactions!$J:$J,P$11,Transactions!$K:$K,$B$1)</f>
        <v>0</v>
      </c>
      <c r="Q15" s="5" t="n">
        <f aca="false">SUM(E15:P15)</f>
        <v>0</v>
      </c>
      <c r="R15" s="5" t="n">
        <f aca="false">D15*12</f>
        <v>360</v>
      </c>
    </row>
    <row r="16" customFormat="false" ht="15" hidden="false" customHeight="false" outlineLevel="0" collapsed="false">
      <c r="A16" s="2" t="n">
        <v>5</v>
      </c>
      <c r="B16" s="2" t="s">
        <v>35</v>
      </c>
      <c r="C16" s="2" t="s">
        <v>69</v>
      </c>
      <c r="D16" s="12" t="n">
        <v>326.76</v>
      </c>
      <c r="E16" s="5" t="n">
        <f aca="false">SUMIFS(Transactions!$E:$E,Transactions!$G:$G,$B16,Transactions!$H:$H,$C16,Transactions!$J:$J,E$11,Transactions!$K:$K,$B$1)</f>
        <v>0</v>
      </c>
      <c r="F16" s="5" t="n">
        <f aca="false">SUMIFS(Transactions!$E:$E,Transactions!$G:$G,$B16,Transactions!$H:$H,$C16,Transactions!$J:$J,F$11,Transactions!$K:$K,$B$1)</f>
        <v>0</v>
      </c>
      <c r="G16" s="5" t="n">
        <f aca="false">SUMIFS(Transactions!$E:$E,Transactions!$G:$G,$B16,Transactions!$H:$H,$C16,Transactions!$J:$J,G$11,Transactions!$K:$K,$B$1)</f>
        <v>0</v>
      </c>
      <c r="H16" s="5" t="n">
        <f aca="false">SUMIFS(Transactions!$E:$E,Transactions!$G:$G,$B16,Transactions!$H:$H,$C16,Transactions!$J:$J,H$11,Transactions!$K:$K,$B$1)</f>
        <v>0</v>
      </c>
      <c r="I16" s="5" t="n">
        <f aca="false">SUMIFS(Transactions!$E:$E,Transactions!$G:$G,$B16,Transactions!$H:$H,$C16,Transactions!$J:$J,I$11,Transactions!$K:$K,$B$1)</f>
        <v>0</v>
      </c>
      <c r="J16" s="5" t="n">
        <f aca="false">SUMIFS(Transactions!$E:$E,Transactions!$G:$G,$B16,Transactions!$H:$H,$C16,Transactions!$J:$J,J$11,Transactions!$K:$K,$B$1)</f>
        <v>0</v>
      </c>
      <c r="K16" s="5" t="n">
        <f aca="false">SUMIFS(Transactions!$E:$E,Transactions!$G:$G,$B16,Transactions!$H:$H,$C16,Transactions!$J:$J,K$11,Transactions!$K:$K,$B$1)</f>
        <v>0</v>
      </c>
      <c r="L16" s="5" t="n">
        <f aca="false">SUMIFS(Transactions!$E:$E,Transactions!$G:$G,$B16,Transactions!$H:$H,$C16,Transactions!$J:$J,L$11,Transactions!$K:$K,$B$1)</f>
        <v>0</v>
      </c>
      <c r="M16" s="5" t="n">
        <f aca="false">SUMIFS(Transactions!$E:$E,Transactions!$G:$G,$B16,Transactions!$H:$H,$C16,Transactions!$J:$J,M$11,Transactions!$K:$K,$B$1)</f>
        <v>0</v>
      </c>
      <c r="N16" s="5" t="n">
        <f aca="false">SUMIFS(Transactions!$E:$E,Transactions!$G:$G,$B16,Transactions!$H:$H,$C16,Transactions!$J:$J,N$11,Transactions!$K:$K,$B$1)</f>
        <v>0</v>
      </c>
      <c r="O16" s="5" t="n">
        <f aca="false">SUMIFS(Transactions!$E:$E,Transactions!$G:$G,$B16,Transactions!$H:$H,$C16,Transactions!$J:$J,O$11,Transactions!$K:$K,$B$1)</f>
        <v>0</v>
      </c>
      <c r="P16" s="5" t="n">
        <f aca="false">SUMIFS(Transactions!$E:$E,Transactions!$G:$G,$B16,Transactions!$H:$H,$C16,Transactions!$J:$J,P$11,Transactions!$K:$K,$B$1)</f>
        <v>0</v>
      </c>
      <c r="Q16" s="5" t="n">
        <f aca="false">SUM(E16:P16)</f>
        <v>0</v>
      </c>
      <c r="R16" s="5" t="n">
        <f aca="false">D16*12</f>
        <v>3921.12</v>
      </c>
    </row>
    <row r="17" customFormat="false" ht="15" hidden="false" customHeight="false" outlineLevel="0" collapsed="false">
      <c r="A17" s="2" t="n">
        <v>6</v>
      </c>
      <c r="B17" s="2" t="s">
        <v>35</v>
      </c>
      <c r="C17" s="2" t="s">
        <v>70</v>
      </c>
      <c r="D17" s="12" t="n">
        <v>145</v>
      </c>
      <c r="E17" s="5" t="n">
        <f aca="false">SUMIFS(Transactions!$E:$E,Transactions!$G:$G,$B17,Transactions!$H:$H,$C17,Transactions!$J:$J,E$11,Transactions!$K:$K,$B$1)</f>
        <v>0</v>
      </c>
      <c r="F17" s="5" t="n">
        <f aca="false">SUMIFS(Transactions!$E:$E,Transactions!$G:$G,$B17,Transactions!$H:$H,$C17,Transactions!$J:$J,F$11,Transactions!$K:$K,$B$1)</f>
        <v>0</v>
      </c>
      <c r="G17" s="5" t="n">
        <f aca="false">SUMIFS(Transactions!$E:$E,Transactions!$G:$G,$B17,Transactions!$H:$H,$C17,Transactions!$J:$J,G$11,Transactions!$K:$K,$B$1)</f>
        <v>0</v>
      </c>
      <c r="H17" s="5" t="n">
        <f aca="false">SUMIFS(Transactions!$E:$E,Transactions!$G:$G,$B17,Transactions!$H:$H,$C17,Transactions!$J:$J,H$11,Transactions!$K:$K,$B$1)</f>
        <v>0</v>
      </c>
      <c r="I17" s="5" t="n">
        <f aca="false">SUMIFS(Transactions!$E:$E,Transactions!$G:$G,$B17,Transactions!$H:$H,$C17,Transactions!$J:$J,I$11,Transactions!$K:$K,$B$1)</f>
        <v>0</v>
      </c>
      <c r="J17" s="5" t="n">
        <f aca="false">SUMIFS(Transactions!$E:$E,Transactions!$G:$G,$B17,Transactions!$H:$H,$C17,Transactions!$J:$J,J$11,Transactions!$K:$K,$B$1)</f>
        <v>0</v>
      </c>
      <c r="K17" s="5" t="n">
        <f aca="false">SUMIFS(Transactions!$E:$E,Transactions!$G:$G,$B17,Transactions!$H:$H,$C17,Transactions!$J:$J,K$11,Transactions!$K:$K,$B$1)</f>
        <v>0</v>
      </c>
      <c r="L17" s="5" t="n">
        <f aca="false">SUMIFS(Transactions!$E:$E,Transactions!$G:$G,$B17,Transactions!$H:$H,$C17,Transactions!$J:$J,L$11,Transactions!$K:$K,$B$1)</f>
        <v>0</v>
      </c>
      <c r="M17" s="5" t="n">
        <f aca="false">SUMIFS(Transactions!$E:$E,Transactions!$G:$G,$B17,Transactions!$H:$H,$C17,Transactions!$J:$J,M$11,Transactions!$K:$K,$B$1)</f>
        <v>0</v>
      </c>
      <c r="N17" s="5" t="n">
        <f aca="false">SUMIFS(Transactions!$E:$E,Transactions!$G:$G,$B17,Transactions!$H:$H,$C17,Transactions!$J:$J,N$11,Transactions!$K:$K,$B$1)</f>
        <v>0</v>
      </c>
      <c r="O17" s="5" t="n">
        <f aca="false">SUMIFS(Transactions!$E:$E,Transactions!$G:$G,$B17,Transactions!$H:$H,$C17,Transactions!$J:$J,O$11,Transactions!$K:$K,$B$1)</f>
        <v>0</v>
      </c>
      <c r="P17" s="5" t="n">
        <f aca="false">SUMIFS(Transactions!$E:$E,Transactions!$G:$G,$B17,Transactions!$H:$H,$C17,Transactions!$J:$J,P$11,Transactions!$K:$K,$B$1)</f>
        <v>0</v>
      </c>
      <c r="Q17" s="5" t="n">
        <f aca="false">SUM(E17:P17)</f>
        <v>0</v>
      </c>
      <c r="R17" s="5" t="n">
        <f aca="false">D17*12</f>
        <v>1740</v>
      </c>
    </row>
    <row r="18" customFormat="false" ht="15" hidden="false" customHeight="false" outlineLevel="0" collapsed="false">
      <c r="A18" s="2" t="n">
        <v>7</v>
      </c>
      <c r="B18" s="2" t="s">
        <v>35</v>
      </c>
      <c r="C18" s="2" t="s">
        <v>71</v>
      </c>
      <c r="D18" s="12" t="n">
        <v>1000</v>
      </c>
      <c r="E18" s="5" t="n">
        <f aca="false">SUMIFS(Transactions!$E:$E,Transactions!$G:$G,$B18,Transactions!$H:$H,$C18,Transactions!$J:$J,E$11,Transactions!$K:$K,$B$1)</f>
        <v>0</v>
      </c>
      <c r="F18" s="5" t="n">
        <f aca="false">SUMIFS(Transactions!$E:$E,Transactions!$G:$G,$B18,Transactions!$H:$H,$C18,Transactions!$J:$J,F$11,Transactions!$K:$K,$B$1)</f>
        <v>0</v>
      </c>
      <c r="G18" s="5" t="n">
        <f aca="false">SUMIFS(Transactions!$E:$E,Transactions!$G:$G,$B18,Transactions!$H:$H,$C18,Transactions!$J:$J,G$11,Transactions!$K:$K,$B$1)</f>
        <v>0</v>
      </c>
      <c r="H18" s="5" t="n">
        <f aca="false">SUMIFS(Transactions!$E:$E,Transactions!$G:$G,$B18,Transactions!$H:$H,$C18,Transactions!$J:$J,H$11,Transactions!$K:$K,$B$1)</f>
        <v>0</v>
      </c>
      <c r="I18" s="5" t="n">
        <f aca="false">SUMIFS(Transactions!$E:$E,Transactions!$G:$G,$B18,Transactions!$H:$H,$C18,Transactions!$J:$J,I$11,Transactions!$K:$K,$B$1)</f>
        <v>0</v>
      </c>
      <c r="J18" s="5" t="n">
        <f aca="false">SUMIFS(Transactions!$E:$E,Transactions!$G:$G,$B18,Transactions!$H:$H,$C18,Transactions!$J:$J,J$11,Transactions!$K:$K,$B$1)</f>
        <v>0</v>
      </c>
      <c r="K18" s="5" t="n">
        <f aca="false">SUMIFS(Transactions!$E:$E,Transactions!$G:$G,$B18,Transactions!$H:$H,$C18,Transactions!$J:$J,K$11,Transactions!$K:$K,$B$1)</f>
        <v>0</v>
      </c>
      <c r="L18" s="5" t="n">
        <f aca="false">SUMIFS(Transactions!$E:$E,Transactions!$G:$G,$B18,Transactions!$H:$H,$C18,Transactions!$J:$J,L$11,Transactions!$K:$K,$B$1)</f>
        <v>0</v>
      </c>
      <c r="M18" s="5" t="n">
        <f aca="false">SUMIFS(Transactions!$E:$E,Transactions!$G:$G,$B18,Transactions!$H:$H,$C18,Transactions!$J:$J,M$11,Transactions!$K:$K,$B$1)</f>
        <v>0</v>
      </c>
      <c r="N18" s="5" t="n">
        <f aca="false">SUMIFS(Transactions!$E:$E,Transactions!$G:$G,$B18,Transactions!$H:$H,$C18,Transactions!$J:$J,N$11,Transactions!$K:$K,$B$1)</f>
        <v>0</v>
      </c>
      <c r="O18" s="5" t="n">
        <f aca="false">SUMIFS(Transactions!$E:$E,Transactions!$G:$G,$B18,Transactions!$H:$H,$C18,Transactions!$J:$J,O$11,Transactions!$K:$K,$B$1)</f>
        <v>0</v>
      </c>
      <c r="P18" s="5" t="n">
        <f aca="false">SUMIFS(Transactions!$E:$E,Transactions!$G:$G,$B18,Transactions!$H:$H,$C18,Transactions!$J:$J,P$11,Transactions!$K:$K,$B$1)</f>
        <v>0</v>
      </c>
      <c r="Q18" s="5" t="n">
        <f aca="false">SUM(E18:P18)</f>
        <v>0</v>
      </c>
      <c r="R18" s="5" t="n">
        <f aca="false">D18*12</f>
        <v>12000</v>
      </c>
    </row>
    <row r="19" customFormat="false" ht="15" hidden="false" customHeight="false" outlineLevel="0" collapsed="false">
      <c r="A19" s="2" t="n">
        <v>8</v>
      </c>
      <c r="B19" s="2" t="s">
        <v>35</v>
      </c>
      <c r="C19" s="2" t="s">
        <v>72</v>
      </c>
      <c r="D19" s="12" t="n">
        <v>35</v>
      </c>
      <c r="E19" s="5" t="n">
        <f aca="false">SUMIFS(Transactions!$E:$E,Transactions!$G:$G,$B19,Transactions!$H:$H,$C19,Transactions!$J:$J,E$11,Transactions!$K:$K,$B$1)</f>
        <v>0</v>
      </c>
      <c r="F19" s="5" t="n">
        <f aca="false">SUMIFS(Transactions!$E:$E,Transactions!$G:$G,$B19,Transactions!$H:$H,$C19,Transactions!$J:$J,F$11,Transactions!$K:$K,$B$1)</f>
        <v>0</v>
      </c>
      <c r="G19" s="5" t="n">
        <f aca="false">SUMIFS(Transactions!$E:$E,Transactions!$G:$G,$B19,Transactions!$H:$H,$C19,Transactions!$J:$J,G$11,Transactions!$K:$K,$B$1)</f>
        <v>0</v>
      </c>
      <c r="H19" s="5" t="n">
        <f aca="false">SUMIFS(Transactions!$E:$E,Transactions!$G:$G,$B19,Transactions!$H:$H,$C19,Transactions!$J:$J,H$11,Transactions!$K:$K,$B$1)</f>
        <v>0</v>
      </c>
      <c r="I19" s="5" t="n">
        <f aca="false">SUMIFS(Transactions!$E:$E,Transactions!$G:$G,$B19,Transactions!$H:$H,$C19,Transactions!$J:$J,I$11,Transactions!$K:$K,$B$1)</f>
        <v>0</v>
      </c>
      <c r="J19" s="5" t="n">
        <f aca="false">SUMIFS(Transactions!$E:$E,Transactions!$G:$G,$B19,Transactions!$H:$H,$C19,Transactions!$J:$J,J$11,Transactions!$K:$K,$B$1)</f>
        <v>0</v>
      </c>
      <c r="K19" s="5" t="n">
        <f aca="false">SUMIFS(Transactions!$E:$E,Transactions!$G:$G,$B19,Transactions!$H:$H,$C19,Transactions!$J:$J,K$11,Transactions!$K:$K,$B$1)</f>
        <v>0</v>
      </c>
      <c r="L19" s="5" t="n">
        <f aca="false">SUMIFS(Transactions!$E:$E,Transactions!$G:$G,$B19,Transactions!$H:$H,$C19,Transactions!$J:$J,L$11,Transactions!$K:$K,$B$1)</f>
        <v>0</v>
      </c>
      <c r="M19" s="5" t="n">
        <f aca="false">SUMIFS(Transactions!$E:$E,Transactions!$G:$G,$B19,Transactions!$H:$H,$C19,Transactions!$J:$J,M$11,Transactions!$K:$K,$B$1)</f>
        <v>0</v>
      </c>
      <c r="N19" s="5" t="n">
        <f aca="false">SUMIFS(Transactions!$E:$E,Transactions!$G:$G,$B19,Transactions!$H:$H,$C19,Transactions!$J:$J,N$11,Transactions!$K:$K,$B$1)</f>
        <v>0</v>
      </c>
      <c r="O19" s="5" t="n">
        <f aca="false">SUMIFS(Transactions!$E:$E,Transactions!$G:$G,$B19,Transactions!$H:$H,$C19,Transactions!$J:$J,O$11,Transactions!$K:$K,$B$1)</f>
        <v>0</v>
      </c>
      <c r="P19" s="5" t="n">
        <f aca="false">SUMIFS(Transactions!$E:$E,Transactions!$G:$G,$B19,Transactions!$H:$H,$C19,Transactions!$J:$J,P$11,Transactions!$K:$K,$B$1)</f>
        <v>0</v>
      </c>
      <c r="Q19" s="5" t="n">
        <f aca="false">SUM(E19:P19)</f>
        <v>0</v>
      </c>
      <c r="R19" s="5" t="n">
        <f aca="false">D19*12</f>
        <v>420</v>
      </c>
    </row>
    <row r="20" customFormat="false" ht="15" hidden="false" customHeight="false" outlineLevel="0" collapsed="false">
      <c r="A20" s="2" t="n">
        <v>9</v>
      </c>
      <c r="B20" s="2" t="s">
        <v>35</v>
      </c>
      <c r="C20" s="2" t="s">
        <v>73</v>
      </c>
      <c r="D20" s="12" t="n">
        <v>50</v>
      </c>
      <c r="E20" s="5" t="n">
        <f aca="false">SUMIFS(Transactions!$E:$E,Transactions!$G:$G,$B20,Transactions!$H:$H,$C20,Transactions!$J:$J,E$11,Transactions!$K:$K,$B$1)</f>
        <v>0</v>
      </c>
      <c r="F20" s="5" t="n">
        <f aca="false">SUMIFS(Transactions!$E:$E,Transactions!$G:$G,$B20,Transactions!$H:$H,$C20,Transactions!$J:$J,F$11,Transactions!$K:$K,$B$1)</f>
        <v>0</v>
      </c>
      <c r="G20" s="5" t="n">
        <f aca="false">SUMIFS(Transactions!$E:$E,Transactions!$G:$G,$B20,Transactions!$H:$H,$C20,Transactions!$J:$J,G$11,Transactions!$K:$K,$B$1)</f>
        <v>0</v>
      </c>
      <c r="H20" s="5" t="n">
        <f aca="false">SUMIFS(Transactions!$E:$E,Transactions!$G:$G,$B20,Transactions!$H:$H,$C20,Transactions!$J:$J,H$11,Transactions!$K:$K,$B$1)</f>
        <v>0</v>
      </c>
      <c r="I20" s="5" t="n">
        <f aca="false">SUMIFS(Transactions!$E:$E,Transactions!$G:$G,$B20,Transactions!$H:$H,$C20,Transactions!$J:$J,I$11,Transactions!$K:$K,$B$1)</f>
        <v>0</v>
      </c>
      <c r="J20" s="5" t="n">
        <f aca="false">SUMIFS(Transactions!$E:$E,Transactions!$G:$G,$B20,Transactions!$H:$H,$C20,Transactions!$J:$J,J$11,Transactions!$K:$K,$B$1)</f>
        <v>0</v>
      </c>
      <c r="K20" s="5" t="n">
        <f aca="false">SUMIFS(Transactions!$E:$E,Transactions!$G:$G,$B20,Transactions!$H:$H,$C20,Transactions!$J:$J,K$11,Transactions!$K:$K,$B$1)</f>
        <v>0</v>
      </c>
      <c r="L20" s="5" t="n">
        <f aca="false">SUMIFS(Transactions!$E:$E,Transactions!$G:$G,$B20,Transactions!$H:$H,$C20,Transactions!$J:$J,L$11,Transactions!$K:$K,$B$1)</f>
        <v>0</v>
      </c>
      <c r="M20" s="5" t="n">
        <f aca="false">SUMIFS(Transactions!$E:$E,Transactions!$G:$G,$B20,Transactions!$H:$H,$C20,Transactions!$J:$J,M$11,Transactions!$K:$K,$B$1)</f>
        <v>0</v>
      </c>
      <c r="N20" s="5" t="n">
        <f aca="false">SUMIFS(Transactions!$E:$E,Transactions!$G:$G,$B20,Transactions!$H:$H,$C20,Transactions!$J:$J,N$11,Transactions!$K:$K,$B$1)</f>
        <v>0</v>
      </c>
      <c r="O20" s="5" t="n">
        <f aca="false">SUMIFS(Transactions!$E:$E,Transactions!$G:$G,$B20,Transactions!$H:$H,$C20,Transactions!$J:$J,O$11,Transactions!$K:$K,$B$1)</f>
        <v>0</v>
      </c>
      <c r="P20" s="5" t="n">
        <f aca="false">SUMIFS(Transactions!$E:$E,Transactions!$G:$G,$B20,Transactions!$H:$H,$C20,Transactions!$J:$J,P$11,Transactions!$K:$K,$B$1)</f>
        <v>0</v>
      </c>
      <c r="Q20" s="5" t="n">
        <f aca="false">SUM(E20:P20)</f>
        <v>0</v>
      </c>
      <c r="R20" s="5" t="n">
        <f aca="false">D20*12</f>
        <v>600</v>
      </c>
    </row>
    <row r="21" customFormat="false" ht="15" hidden="false" customHeight="false" outlineLevel="0" collapsed="false">
      <c r="A21" s="2" t="n">
        <v>10</v>
      </c>
      <c r="B21" s="2" t="s">
        <v>35</v>
      </c>
      <c r="C21" s="2" t="s">
        <v>36</v>
      </c>
      <c r="D21" s="12" t="n">
        <v>600</v>
      </c>
      <c r="E21" s="5" t="n">
        <f aca="false">SUMIFS(Transactions!$E:$E,Transactions!$G:$G,$B21,Transactions!$H:$H,$C21,Transactions!$J:$J,E$11,Transactions!$K:$K,$B$1)</f>
        <v>0</v>
      </c>
      <c r="F21" s="5" t="n">
        <f aca="false">SUMIFS(Transactions!$E:$E,Transactions!$G:$G,$B21,Transactions!$H:$H,$C21,Transactions!$J:$J,F$11,Transactions!$K:$K,$B$1)</f>
        <v>0</v>
      </c>
      <c r="G21" s="5" t="n">
        <f aca="false">SUMIFS(Transactions!$E:$E,Transactions!$G:$G,$B21,Transactions!$H:$H,$C21,Transactions!$J:$J,G$11,Transactions!$K:$K,$B$1)</f>
        <v>0</v>
      </c>
      <c r="H21" s="5" t="n">
        <f aca="false">SUMIFS(Transactions!$E:$E,Transactions!$G:$G,$B21,Transactions!$H:$H,$C21,Transactions!$J:$J,H$11,Transactions!$K:$K,$B$1)</f>
        <v>0</v>
      </c>
      <c r="I21" s="5" t="n">
        <f aca="false">SUMIFS(Transactions!$E:$E,Transactions!$G:$G,$B21,Transactions!$H:$H,$C21,Transactions!$J:$J,I$11,Transactions!$K:$K,$B$1)</f>
        <v>0</v>
      </c>
      <c r="J21" s="5" t="n">
        <f aca="false">SUMIFS(Transactions!$E:$E,Transactions!$G:$G,$B21,Transactions!$H:$H,$C21,Transactions!$J:$J,J$11,Transactions!$K:$K,$B$1)</f>
        <v>0</v>
      </c>
      <c r="K21" s="5" t="n">
        <f aca="false">SUMIFS(Transactions!$E:$E,Transactions!$G:$G,$B21,Transactions!$H:$H,$C21,Transactions!$J:$J,K$11,Transactions!$K:$K,$B$1)</f>
        <v>0</v>
      </c>
      <c r="L21" s="5" t="n">
        <f aca="false">SUMIFS(Transactions!$E:$E,Transactions!$G:$G,$B21,Transactions!$H:$H,$C21,Transactions!$J:$J,L$11,Transactions!$K:$K,$B$1)</f>
        <v>245.5</v>
      </c>
      <c r="M21" s="5" t="n">
        <f aca="false">SUMIFS(Transactions!$E:$E,Transactions!$G:$G,$B21,Transactions!$H:$H,$C21,Transactions!$J:$J,M$11,Transactions!$K:$K,$B$1)</f>
        <v>0</v>
      </c>
      <c r="N21" s="5" t="n">
        <f aca="false">SUMIFS(Transactions!$E:$E,Transactions!$G:$G,$B21,Transactions!$H:$H,$C21,Transactions!$J:$J,N$11,Transactions!$K:$K,$B$1)</f>
        <v>0</v>
      </c>
      <c r="O21" s="5" t="n">
        <f aca="false">SUMIFS(Transactions!$E:$E,Transactions!$G:$G,$B21,Transactions!$H:$H,$C21,Transactions!$J:$J,O$11,Transactions!$K:$K,$B$1)</f>
        <v>0</v>
      </c>
      <c r="P21" s="5" t="n">
        <f aca="false">SUMIFS(Transactions!$E:$E,Transactions!$G:$G,$B21,Transactions!$H:$H,$C21,Transactions!$J:$J,P$11,Transactions!$K:$K,$B$1)</f>
        <v>0</v>
      </c>
      <c r="Q21" s="5" t="n">
        <f aca="false">SUM(E21:P21)</f>
        <v>245.5</v>
      </c>
      <c r="R21" s="5" t="n">
        <f aca="false">D21*12</f>
        <v>7200</v>
      </c>
    </row>
    <row r="22" customFormat="false" ht="15" hidden="false" customHeight="false" outlineLevel="0" collapsed="false">
      <c r="A22" s="2" t="n">
        <v>11</v>
      </c>
      <c r="B22" s="2" t="s">
        <v>35</v>
      </c>
      <c r="C22" s="2" t="s">
        <v>74</v>
      </c>
      <c r="D22" s="12" t="n">
        <v>210</v>
      </c>
      <c r="E22" s="5" t="n">
        <f aca="false">SUMIFS(Transactions!$E:$E,Transactions!$G:$G,$B22,Transactions!$H:$H,$C22,Transactions!$J:$J,E$11,Transactions!$K:$K,$B$1)</f>
        <v>0</v>
      </c>
      <c r="F22" s="5" t="n">
        <f aca="false">SUMIFS(Transactions!$E:$E,Transactions!$G:$G,$B22,Transactions!$H:$H,$C22,Transactions!$J:$J,F$11,Transactions!$K:$K,$B$1)</f>
        <v>0</v>
      </c>
      <c r="G22" s="5" t="n">
        <f aca="false">SUMIFS(Transactions!$E:$E,Transactions!$G:$G,$B22,Transactions!$H:$H,$C22,Transactions!$J:$J,G$11,Transactions!$K:$K,$B$1)</f>
        <v>0</v>
      </c>
      <c r="H22" s="5" t="n">
        <f aca="false">SUMIFS(Transactions!$E:$E,Transactions!$G:$G,$B22,Transactions!$H:$H,$C22,Transactions!$J:$J,H$11,Transactions!$K:$K,$B$1)</f>
        <v>0</v>
      </c>
      <c r="I22" s="5" t="n">
        <f aca="false">SUMIFS(Transactions!$E:$E,Transactions!$G:$G,$B22,Transactions!$H:$H,$C22,Transactions!$J:$J,I$11,Transactions!$K:$K,$B$1)</f>
        <v>0</v>
      </c>
      <c r="J22" s="5" t="n">
        <f aca="false">SUMIFS(Transactions!$E:$E,Transactions!$G:$G,$B22,Transactions!$H:$H,$C22,Transactions!$J:$J,J$11,Transactions!$K:$K,$B$1)</f>
        <v>0</v>
      </c>
      <c r="K22" s="5" t="n">
        <f aca="false">SUMIFS(Transactions!$E:$E,Transactions!$G:$G,$B22,Transactions!$H:$H,$C22,Transactions!$J:$J,K$11,Transactions!$K:$K,$B$1)</f>
        <v>0</v>
      </c>
      <c r="L22" s="5" t="n">
        <f aca="false">SUMIFS(Transactions!$E:$E,Transactions!$G:$G,$B22,Transactions!$H:$H,$C22,Transactions!$J:$J,L$11,Transactions!$K:$K,$B$1)</f>
        <v>0</v>
      </c>
      <c r="M22" s="5" t="n">
        <f aca="false">SUMIFS(Transactions!$E:$E,Transactions!$G:$G,$B22,Transactions!$H:$H,$C22,Transactions!$J:$J,M$11,Transactions!$K:$K,$B$1)</f>
        <v>0</v>
      </c>
      <c r="N22" s="5" t="n">
        <f aca="false">SUMIFS(Transactions!$E:$E,Transactions!$G:$G,$B22,Transactions!$H:$H,$C22,Transactions!$J:$J,N$11,Transactions!$K:$K,$B$1)</f>
        <v>0</v>
      </c>
      <c r="O22" s="5" t="n">
        <f aca="false">SUMIFS(Transactions!$E:$E,Transactions!$G:$G,$B22,Transactions!$H:$H,$C22,Transactions!$J:$J,O$11,Transactions!$K:$K,$B$1)</f>
        <v>0</v>
      </c>
      <c r="P22" s="5" t="n">
        <f aca="false">SUMIFS(Transactions!$E:$E,Transactions!$G:$G,$B22,Transactions!$H:$H,$C22,Transactions!$J:$J,P$11,Transactions!$K:$K,$B$1)</f>
        <v>0</v>
      </c>
      <c r="Q22" s="5" t="n">
        <f aca="false">SUM(E22:P22)</f>
        <v>0</v>
      </c>
      <c r="R22" s="5" t="n">
        <f aca="false">D22*12</f>
        <v>2520</v>
      </c>
    </row>
    <row r="23" customFormat="false" ht="15" hidden="false" customHeight="false" outlineLevel="0" collapsed="false">
      <c r="A23" s="2" t="n">
        <v>12</v>
      </c>
      <c r="B23" s="2" t="s">
        <v>35</v>
      </c>
      <c r="C23" s="2" t="s">
        <v>75</v>
      </c>
      <c r="D23" s="12" t="n">
        <v>1176</v>
      </c>
      <c r="E23" s="5" t="n">
        <f aca="false">SUMIFS(Transactions!$E:$E,Transactions!$G:$G,$B23,Transactions!$H:$H,$C23,Transactions!$J:$J,E$11,Transactions!$K:$K,$B$1)</f>
        <v>0</v>
      </c>
      <c r="F23" s="5" t="n">
        <f aca="false">SUMIFS(Transactions!$E:$E,Transactions!$G:$G,$B23,Transactions!$H:$H,$C23,Transactions!$J:$J,F$11,Transactions!$K:$K,$B$1)</f>
        <v>0</v>
      </c>
      <c r="G23" s="5" t="n">
        <f aca="false">SUMIFS(Transactions!$E:$E,Transactions!$G:$G,$B23,Transactions!$H:$H,$C23,Transactions!$J:$J,G$11,Transactions!$K:$K,$B$1)</f>
        <v>0</v>
      </c>
      <c r="H23" s="5" t="n">
        <f aca="false">SUMIFS(Transactions!$E:$E,Transactions!$G:$G,$B23,Transactions!$H:$H,$C23,Transactions!$J:$J,H$11,Transactions!$K:$K,$B$1)</f>
        <v>0</v>
      </c>
      <c r="I23" s="5" t="n">
        <f aca="false">SUMIFS(Transactions!$E:$E,Transactions!$G:$G,$B23,Transactions!$H:$H,$C23,Transactions!$J:$J,I$11,Transactions!$K:$K,$B$1)</f>
        <v>0</v>
      </c>
      <c r="J23" s="5" t="n">
        <f aca="false">SUMIFS(Transactions!$E:$E,Transactions!$G:$G,$B23,Transactions!$H:$H,$C23,Transactions!$J:$J,J$11,Transactions!$K:$K,$B$1)</f>
        <v>0</v>
      </c>
      <c r="K23" s="5" t="n">
        <f aca="false">SUMIFS(Transactions!$E:$E,Transactions!$G:$G,$B23,Transactions!$H:$H,$C23,Transactions!$J:$J,K$11,Transactions!$K:$K,$B$1)</f>
        <v>0</v>
      </c>
      <c r="L23" s="5" t="n">
        <f aca="false">SUMIFS(Transactions!$E:$E,Transactions!$G:$G,$B23,Transactions!$H:$H,$C23,Transactions!$J:$J,L$11,Transactions!$K:$K,$B$1)</f>
        <v>0</v>
      </c>
      <c r="M23" s="5" t="n">
        <f aca="false">SUMIFS(Transactions!$E:$E,Transactions!$G:$G,$B23,Transactions!$H:$H,$C23,Transactions!$J:$J,M$11,Transactions!$K:$K,$B$1)</f>
        <v>0</v>
      </c>
      <c r="N23" s="5" t="n">
        <f aca="false">SUMIFS(Transactions!$E:$E,Transactions!$G:$G,$B23,Transactions!$H:$H,$C23,Transactions!$J:$J,N$11,Transactions!$K:$K,$B$1)</f>
        <v>0</v>
      </c>
      <c r="O23" s="5" t="n">
        <f aca="false">SUMIFS(Transactions!$E:$E,Transactions!$G:$G,$B23,Transactions!$H:$H,$C23,Transactions!$J:$J,O$11,Transactions!$K:$K,$B$1)</f>
        <v>0</v>
      </c>
      <c r="P23" s="5" t="n">
        <f aca="false">SUMIFS(Transactions!$E:$E,Transactions!$G:$G,$B23,Transactions!$H:$H,$C23,Transactions!$J:$J,P$11,Transactions!$K:$K,$B$1)</f>
        <v>0</v>
      </c>
      <c r="Q23" s="5" t="n">
        <f aca="false">SUM(E23:P23)</f>
        <v>0</v>
      </c>
      <c r="R23" s="5" t="n">
        <f aca="false">D23*12</f>
        <v>14112</v>
      </c>
    </row>
    <row r="24" customFormat="false" ht="15" hidden="false" customHeight="false" outlineLevel="0" collapsed="false">
      <c r="A24" s="2" t="n">
        <v>13</v>
      </c>
      <c r="B24" s="2" t="s">
        <v>35</v>
      </c>
      <c r="C24" s="2" t="s">
        <v>76</v>
      </c>
      <c r="D24" s="12" t="n">
        <v>0</v>
      </c>
      <c r="E24" s="5" t="n">
        <f aca="false">SUMIFS(Transactions!$E:$E,Transactions!$G:$G,$B24,Transactions!$H:$H,$C24,Transactions!$J:$J,E$11,Transactions!$K:$K,$B$1)</f>
        <v>0</v>
      </c>
      <c r="F24" s="5" t="n">
        <f aca="false">SUMIFS(Transactions!$E:$E,Transactions!$G:$G,$B24,Transactions!$H:$H,$C24,Transactions!$J:$J,F$11,Transactions!$K:$K,$B$1)</f>
        <v>0</v>
      </c>
      <c r="G24" s="5" t="n">
        <f aca="false">SUMIFS(Transactions!$E:$E,Transactions!$G:$G,$B24,Transactions!$H:$H,$C24,Transactions!$J:$J,G$11,Transactions!$K:$K,$B$1)</f>
        <v>0</v>
      </c>
      <c r="H24" s="5" t="n">
        <f aca="false">SUMIFS(Transactions!$E:$E,Transactions!$G:$G,$B24,Transactions!$H:$H,$C24,Transactions!$J:$J,H$11,Transactions!$K:$K,$B$1)</f>
        <v>0</v>
      </c>
      <c r="I24" s="5" t="n">
        <f aca="false">SUMIFS(Transactions!$E:$E,Transactions!$G:$G,$B24,Transactions!$H:$H,$C24,Transactions!$J:$J,I$11,Transactions!$K:$K,$B$1)</f>
        <v>0</v>
      </c>
      <c r="J24" s="5" t="n">
        <f aca="false">SUMIFS(Transactions!$E:$E,Transactions!$G:$G,$B24,Transactions!$H:$H,$C24,Transactions!$J:$J,J$11,Transactions!$K:$K,$B$1)</f>
        <v>0</v>
      </c>
      <c r="K24" s="5" t="n">
        <f aca="false">SUMIFS(Transactions!$E:$E,Transactions!$G:$G,$B24,Transactions!$H:$H,$C24,Transactions!$J:$J,K$11,Transactions!$K:$K,$B$1)</f>
        <v>0</v>
      </c>
      <c r="L24" s="5" t="n">
        <f aca="false">SUMIFS(Transactions!$E:$E,Transactions!$G:$G,$B24,Transactions!$H:$H,$C24,Transactions!$J:$J,L$11,Transactions!$K:$K,$B$1)</f>
        <v>0</v>
      </c>
      <c r="M24" s="5" t="n">
        <f aca="false">SUMIFS(Transactions!$E:$E,Transactions!$G:$G,$B24,Transactions!$H:$H,$C24,Transactions!$J:$J,M$11,Transactions!$K:$K,$B$1)</f>
        <v>0</v>
      </c>
      <c r="N24" s="5" t="n">
        <f aca="false">SUMIFS(Transactions!$E:$E,Transactions!$G:$G,$B24,Transactions!$H:$H,$C24,Transactions!$J:$J,N$11,Transactions!$K:$K,$B$1)</f>
        <v>0</v>
      </c>
      <c r="O24" s="5" t="n">
        <f aca="false">SUMIFS(Transactions!$E:$E,Transactions!$G:$G,$B24,Transactions!$H:$H,$C24,Transactions!$J:$J,O$11,Transactions!$K:$K,$B$1)</f>
        <v>0</v>
      </c>
      <c r="P24" s="5" t="n">
        <f aca="false">SUMIFS(Transactions!$E:$E,Transactions!$G:$G,$B24,Transactions!$H:$H,$C24,Transactions!$J:$J,P$11,Transactions!$K:$K,$B$1)</f>
        <v>0</v>
      </c>
      <c r="Q24" s="5" t="n">
        <f aca="false">SUM(E24:P24)</f>
        <v>0</v>
      </c>
      <c r="R24" s="5" t="n">
        <f aca="false">D24*12</f>
        <v>0</v>
      </c>
    </row>
    <row r="25" customFormat="false" ht="15" hidden="false" customHeight="false" outlineLevel="0" collapsed="false">
      <c r="A25" s="13"/>
      <c r="B25" s="13"/>
      <c r="C25" s="10" t="s">
        <v>59</v>
      </c>
      <c r="D25" s="11" t="n">
        <f aca="false">SUM(D12:D24)</f>
        <v>7747.76</v>
      </c>
      <c r="E25" s="11" t="n">
        <f aca="false">SUM(E12:E24)</f>
        <v>0</v>
      </c>
      <c r="F25" s="11" t="n">
        <f aca="false">SUM(F12:F24)</f>
        <v>0</v>
      </c>
      <c r="G25" s="11" t="n">
        <f aca="false">SUM(G12:G24)</f>
        <v>0</v>
      </c>
      <c r="H25" s="11" t="n">
        <f aca="false">SUM(H12:H24)</f>
        <v>0</v>
      </c>
      <c r="I25" s="11" t="n">
        <f aca="false">SUM(I12:I24)</f>
        <v>0</v>
      </c>
      <c r="J25" s="11" t="n">
        <f aca="false">SUM(J12:J24)</f>
        <v>0</v>
      </c>
      <c r="K25" s="11" t="n">
        <f aca="false">SUM(K12:K24)</f>
        <v>0</v>
      </c>
      <c r="L25" s="11" t="n">
        <f aca="false">SUM(L12:L24)</f>
        <v>245.5</v>
      </c>
      <c r="M25" s="11" t="n">
        <f aca="false">SUM(M12:M24)</f>
        <v>0</v>
      </c>
      <c r="N25" s="11" t="n">
        <f aca="false">SUM(N12:N24)</f>
        <v>0</v>
      </c>
      <c r="O25" s="11" t="n">
        <f aca="false">SUM(O12:O24)</f>
        <v>0</v>
      </c>
      <c r="P25" s="11" t="n">
        <f aca="false">SUM(P12:P24)</f>
        <v>0</v>
      </c>
      <c r="Q25" s="11" t="n">
        <f aca="false">SUM(Q12:Q24)</f>
        <v>245.5</v>
      </c>
      <c r="R25" s="11" t="n">
        <f aca="false">SUM(R12:R24)</f>
        <v>92973.12</v>
      </c>
    </row>
    <row r="28" customFormat="false" ht="15" hidden="false" customHeight="false" outlineLevel="0" collapsed="false">
      <c r="A28" s="8" t="s">
        <v>42</v>
      </c>
      <c r="B28" s="8" t="s">
        <v>24</v>
      </c>
      <c r="C28" s="8" t="s">
        <v>77</v>
      </c>
      <c r="D28" s="8" t="s">
        <v>44</v>
      </c>
      <c r="E28" s="9" t="s">
        <v>45</v>
      </c>
      <c r="F28" s="9" t="s">
        <v>46</v>
      </c>
      <c r="G28" s="9" t="s">
        <v>47</v>
      </c>
      <c r="H28" s="9" t="s">
        <v>48</v>
      </c>
      <c r="I28" s="9" t="s">
        <v>49</v>
      </c>
      <c r="J28" s="9" t="s">
        <v>50</v>
      </c>
      <c r="K28" s="9" t="s">
        <v>51</v>
      </c>
      <c r="L28" s="9" t="s">
        <v>38</v>
      </c>
      <c r="M28" s="9" t="s">
        <v>52</v>
      </c>
      <c r="N28" s="9" t="s">
        <v>53</v>
      </c>
      <c r="O28" s="9" t="s">
        <v>54</v>
      </c>
      <c r="P28" s="9" t="s">
        <v>55</v>
      </c>
      <c r="Q28" s="8" t="s">
        <v>56</v>
      </c>
      <c r="R28" s="8" t="s">
        <v>57</v>
      </c>
    </row>
    <row r="29" customFormat="false" ht="15" hidden="false" customHeight="false" outlineLevel="0" collapsed="false">
      <c r="A29" s="2" t="n">
        <v>1</v>
      </c>
      <c r="B29" s="2" t="s">
        <v>77</v>
      </c>
      <c r="C29" s="2" t="s">
        <v>78</v>
      </c>
      <c r="D29" s="12" t="n">
        <v>1500</v>
      </c>
      <c r="E29" s="5" t="n">
        <f aca="false">SUMIFS(Transactions!$E:$E,Transactions!$G:$G,$B29,Transactions!$H:$H,$C29,Transactions!$J:$J,E$28,Transactions!$K:$K,$B$1)</f>
        <v>0</v>
      </c>
      <c r="F29" s="5" t="n">
        <f aca="false">SUMIFS(Transactions!$E:$E,Transactions!$G:$G,$B29,Transactions!$H:$H,$C29,Transactions!$J:$J,F$28,Transactions!$K:$K,$B$1)</f>
        <v>0</v>
      </c>
      <c r="G29" s="5" t="n">
        <f aca="false">SUMIFS(Transactions!$E:$E,Transactions!$G:$G,$B29,Transactions!$H:$H,$C29,Transactions!$J:$J,G$28,Transactions!$K:$K,$B$1)</f>
        <v>0</v>
      </c>
      <c r="H29" s="5" t="n">
        <f aca="false">SUMIFS(Transactions!$E:$E,Transactions!$G:$G,$B29,Transactions!$H:$H,$C29,Transactions!$J:$J,H$28,Transactions!$K:$K,$B$1)</f>
        <v>0</v>
      </c>
      <c r="I29" s="5" t="n">
        <f aca="false">SUMIFS(Transactions!$E:$E,Transactions!$G:$G,$B29,Transactions!$H:$H,$C29,Transactions!$J:$J,I$28,Transactions!$K:$K,$B$1)</f>
        <v>0</v>
      </c>
      <c r="J29" s="5" t="n">
        <f aca="false">SUMIFS(Transactions!$E:$E,Transactions!$G:$G,$B29,Transactions!$H:$H,$C29,Transactions!$J:$J,J$28,Transactions!$K:$K,$B$1)</f>
        <v>0</v>
      </c>
      <c r="K29" s="5" t="n">
        <f aca="false">SUMIFS(Transactions!$E:$E,Transactions!$G:$G,$B29,Transactions!$H:$H,$C29,Transactions!$J:$J,K$28,Transactions!$K:$K,$B$1)</f>
        <v>0</v>
      </c>
      <c r="L29" s="5" t="n">
        <f aca="false">SUMIFS(Transactions!$E:$E,Transactions!$G:$G,$B29,Transactions!$H:$H,$C29,Transactions!$J:$J,L$28,Transactions!$K:$K,$B$1)</f>
        <v>0</v>
      </c>
      <c r="M29" s="5" t="n">
        <f aca="false">SUMIFS(Transactions!$E:$E,Transactions!$G:$G,$B29,Transactions!$H:$H,$C29,Transactions!$J:$J,M$28,Transactions!$K:$K,$B$1)</f>
        <v>0</v>
      </c>
      <c r="N29" s="5" t="n">
        <f aca="false">SUMIFS(Transactions!$E:$E,Transactions!$G:$G,$B29,Transactions!$H:$H,$C29,Transactions!$J:$J,N$28,Transactions!$K:$K,$B$1)</f>
        <v>0</v>
      </c>
      <c r="O29" s="5" t="n">
        <f aca="false">SUMIFS(Transactions!$E:$E,Transactions!$G:$G,$B29,Transactions!$H:$H,$C29,Transactions!$J:$J,O$28,Transactions!$K:$K,$B$1)</f>
        <v>0</v>
      </c>
      <c r="P29" s="5" t="n">
        <f aca="false">SUMIFS(Transactions!$E:$E,Transactions!$G:$G,$B29,Transactions!$H:$H,$C29,Transactions!$J:$J,P$28,Transactions!$K:$K,$B$1)</f>
        <v>0</v>
      </c>
      <c r="Q29" s="5" t="n">
        <f aca="false">SUM(E29:P29)</f>
        <v>0</v>
      </c>
      <c r="R29" s="5" t="n">
        <f aca="false">D29*12</f>
        <v>18000</v>
      </c>
    </row>
    <row r="30" customFormat="false" ht="15" hidden="false" customHeight="false" outlineLevel="0" collapsed="false">
      <c r="A30" s="2" t="n">
        <v>2</v>
      </c>
      <c r="B30" s="2" t="s">
        <v>77</v>
      </c>
      <c r="C30" s="2" t="s">
        <v>79</v>
      </c>
      <c r="D30" s="12" t="n">
        <v>400</v>
      </c>
      <c r="E30" s="5" t="n">
        <f aca="false">SUMIFS(Transactions!$E:$E,Transactions!$G:$G,$B30,Transactions!$H:$H,$C30,Transactions!$J:$J,E$28,Transactions!$K:$K,$B$1)</f>
        <v>0</v>
      </c>
      <c r="F30" s="5" t="n">
        <f aca="false">SUMIFS(Transactions!$E:$E,Transactions!$G:$G,$B30,Transactions!$H:$H,$C30,Transactions!$J:$J,F$28,Transactions!$K:$K,$B$1)</f>
        <v>0</v>
      </c>
      <c r="G30" s="5" t="n">
        <f aca="false">SUMIFS(Transactions!$E:$E,Transactions!$G:$G,$B30,Transactions!$H:$H,$C30,Transactions!$J:$J,G$28,Transactions!$K:$K,$B$1)</f>
        <v>0</v>
      </c>
      <c r="H30" s="5" t="n">
        <f aca="false">SUMIFS(Transactions!$E:$E,Transactions!$G:$G,$B30,Transactions!$H:$H,$C30,Transactions!$J:$J,H$28,Transactions!$K:$K,$B$1)</f>
        <v>0</v>
      </c>
      <c r="I30" s="5" t="n">
        <f aca="false">SUMIFS(Transactions!$E:$E,Transactions!$G:$G,$B30,Transactions!$H:$H,$C30,Transactions!$J:$J,I$28,Transactions!$K:$K,$B$1)</f>
        <v>0</v>
      </c>
      <c r="J30" s="5" t="n">
        <f aca="false">SUMIFS(Transactions!$E:$E,Transactions!$G:$G,$B30,Transactions!$H:$H,$C30,Transactions!$J:$J,J$28,Transactions!$K:$K,$B$1)</f>
        <v>0</v>
      </c>
      <c r="K30" s="5" t="n">
        <f aca="false">SUMIFS(Transactions!$E:$E,Transactions!$G:$G,$B30,Transactions!$H:$H,$C30,Transactions!$J:$J,K$28,Transactions!$K:$K,$B$1)</f>
        <v>0</v>
      </c>
      <c r="L30" s="5" t="n">
        <f aca="false">SUMIFS(Transactions!$E:$E,Transactions!$G:$G,$B30,Transactions!$H:$H,$C30,Transactions!$J:$J,L$28,Transactions!$K:$K,$B$1)</f>
        <v>0</v>
      </c>
      <c r="M30" s="5" t="n">
        <f aca="false">SUMIFS(Transactions!$E:$E,Transactions!$G:$G,$B30,Transactions!$H:$H,$C30,Transactions!$J:$J,M$28,Transactions!$K:$K,$B$1)</f>
        <v>0</v>
      </c>
      <c r="N30" s="5" t="n">
        <f aca="false">SUMIFS(Transactions!$E:$E,Transactions!$G:$G,$B30,Transactions!$H:$H,$C30,Transactions!$J:$J,N$28,Transactions!$K:$K,$B$1)</f>
        <v>0</v>
      </c>
      <c r="O30" s="5" t="n">
        <f aca="false">SUMIFS(Transactions!$E:$E,Transactions!$G:$G,$B30,Transactions!$H:$H,$C30,Transactions!$J:$J,O$28,Transactions!$K:$K,$B$1)</f>
        <v>0</v>
      </c>
      <c r="P30" s="5" t="n">
        <f aca="false">SUMIFS(Transactions!$E:$E,Transactions!$G:$G,$B30,Transactions!$H:$H,$C30,Transactions!$J:$J,P$28,Transactions!$K:$K,$B$1)</f>
        <v>0</v>
      </c>
      <c r="Q30" s="5" t="n">
        <f aca="false">SUM(E30:P30)</f>
        <v>0</v>
      </c>
      <c r="R30" s="5" t="n">
        <f aca="false">D30*12</f>
        <v>4800</v>
      </c>
    </row>
    <row r="31" customFormat="false" ht="15" hidden="false" customHeight="false" outlineLevel="0" collapsed="false">
      <c r="A31" s="2" t="n">
        <v>3</v>
      </c>
      <c r="B31" s="2" t="s">
        <v>77</v>
      </c>
      <c r="C31" s="2" t="s">
        <v>80</v>
      </c>
      <c r="D31" s="12" t="n">
        <v>100</v>
      </c>
      <c r="E31" s="5" t="n">
        <f aca="false">SUMIFS(Transactions!$E:$E,Transactions!$G:$G,$B31,Transactions!$H:$H,$C31,Transactions!$J:$J,E$28,Transactions!$K:$K,$B$1)</f>
        <v>0</v>
      </c>
      <c r="F31" s="5" t="n">
        <f aca="false">SUMIFS(Transactions!$E:$E,Transactions!$G:$G,$B31,Transactions!$H:$H,$C31,Transactions!$J:$J,F$28,Transactions!$K:$K,$B$1)</f>
        <v>0</v>
      </c>
      <c r="G31" s="5" t="n">
        <f aca="false">SUMIFS(Transactions!$E:$E,Transactions!$G:$G,$B31,Transactions!$H:$H,$C31,Transactions!$J:$J,G$28,Transactions!$K:$K,$B$1)</f>
        <v>0</v>
      </c>
      <c r="H31" s="5" t="n">
        <f aca="false">SUMIFS(Transactions!$E:$E,Transactions!$G:$G,$B31,Transactions!$H:$H,$C31,Transactions!$J:$J,H$28,Transactions!$K:$K,$B$1)</f>
        <v>0</v>
      </c>
      <c r="I31" s="5" t="n">
        <f aca="false">SUMIFS(Transactions!$E:$E,Transactions!$G:$G,$B31,Transactions!$H:$H,$C31,Transactions!$J:$J,I$28,Transactions!$K:$K,$B$1)</f>
        <v>0</v>
      </c>
      <c r="J31" s="5" t="n">
        <f aca="false">SUMIFS(Transactions!$E:$E,Transactions!$G:$G,$B31,Transactions!$H:$H,$C31,Transactions!$J:$J,J$28,Transactions!$K:$K,$B$1)</f>
        <v>0</v>
      </c>
      <c r="K31" s="5" t="n">
        <f aca="false">SUMIFS(Transactions!$E:$E,Transactions!$G:$G,$B31,Transactions!$H:$H,$C31,Transactions!$J:$J,K$28,Transactions!$K:$K,$B$1)</f>
        <v>0</v>
      </c>
      <c r="L31" s="5" t="n">
        <f aca="false">SUMIFS(Transactions!$E:$E,Transactions!$G:$G,$B31,Transactions!$H:$H,$C31,Transactions!$J:$J,L$28,Transactions!$K:$K,$B$1)</f>
        <v>0</v>
      </c>
      <c r="M31" s="5" t="n">
        <f aca="false">SUMIFS(Transactions!$E:$E,Transactions!$G:$G,$B31,Transactions!$H:$H,$C31,Transactions!$J:$J,M$28,Transactions!$K:$K,$B$1)</f>
        <v>0</v>
      </c>
      <c r="N31" s="5" t="n">
        <f aca="false">SUMIFS(Transactions!$E:$E,Transactions!$G:$G,$B31,Transactions!$H:$H,$C31,Transactions!$J:$J,N$28,Transactions!$K:$K,$B$1)</f>
        <v>0</v>
      </c>
      <c r="O31" s="5" t="n">
        <f aca="false">SUMIFS(Transactions!$E:$E,Transactions!$G:$G,$B31,Transactions!$H:$H,$C31,Transactions!$J:$J,O$28,Transactions!$K:$K,$B$1)</f>
        <v>0</v>
      </c>
      <c r="P31" s="5" t="n">
        <f aca="false">SUMIFS(Transactions!$E:$E,Transactions!$G:$G,$B31,Transactions!$H:$H,$C31,Transactions!$J:$J,P$28,Transactions!$K:$K,$B$1)</f>
        <v>0</v>
      </c>
      <c r="Q31" s="5" t="n">
        <f aca="false">SUM(E31:P31)</f>
        <v>0</v>
      </c>
      <c r="R31" s="5" t="n">
        <f aca="false">D31*12</f>
        <v>1200</v>
      </c>
    </row>
    <row r="32" customFormat="false" ht="15" hidden="false" customHeight="false" outlineLevel="0" collapsed="false">
      <c r="A32" s="2" t="n">
        <v>4</v>
      </c>
      <c r="B32" s="2" t="s">
        <v>77</v>
      </c>
      <c r="C32" s="2" t="s">
        <v>81</v>
      </c>
      <c r="D32" s="12" t="n">
        <v>210</v>
      </c>
      <c r="E32" s="5" t="n">
        <f aca="false">SUMIFS(Transactions!$E:$E,Transactions!$G:$G,$B32,Transactions!$H:$H,$C32,Transactions!$J:$J,E$28,Transactions!$K:$K,$B$1)</f>
        <v>0</v>
      </c>
      <c r="F32" s="5" t="n">
        <f aca="false">SUMIFS(Transactions!$E:$E,Transactions!$G:$G,$B32,Transactions!$H:$H,$C32,Transactions!$J:$J,F$28,Transactions!$K:$K,$B$1)</f>
        <v>0</v>
      </c>
      <c r="G32" s="5" t="n">
        <f aca="false">SUMIFS(Transactions!$E:$E,Transactions!$G:$G,$B32,Transactions!$H:$H,$C32,Transactions!$J:$J,G$28,Transactions!$K:$K,$B$1)</f>
        <v>0</v>
      </c>
      <c r="H32" s="5" t="n">
        <f aca="false">SUMIFS(Transactions!$E:$E,Transactions!$G:$G,$B32,Transactions!$H:$H,$C32,Transactions!$J:$J,H$28,Transactions!$K:$K,$B$1)</f>
        <v>0</v>
      </c>
      <c r="I32" s="5" t="n">
        <f aca="false">SUMIFS(Transactions!$E:$E,Transactions!$G:$G,$B32,Transactions!$H:$H,$C32,Transactions!$J:$J,I$28,Transactions!$K:$K,$B$1)</f>
        <v>0</v>
      </c>
      <c r="J32" s="5" t="n">
        <f aca="false">SUMIFS(Transactions!$E:$E,Transactions!$G:$G,$B32,Transactions!$H:$H,$C32,Transactions!$J:$J,J$28,Transactions!$K:$K,$B$1)</f>
        <v>0</v>
      </c>
      <c r="K32" s="5" t="n">
        <f aca="false">SUMIFS(Transactions!$E:$E,Transactions!$G:$G,$B32,Transactions!$H:$H,$C32,Transactions!$J:$J,K$28,Transactions!$K:$K,$B$1)</f>
        <v>0</v>
      </c>
      <c r="L32" s="5" t="n">
        <f aca="false">SUMIFS(Transactions!$E:$E,Transactions!$G:$G,$B32,Transactions!$H:$H,$C32,Transactions!$J:$J,L$28,Transactions!$K:$K,$B$1)</f>
        <v>0</v>
      </c>
      <c r="M32" s="5" t="n">
        <f aca="false">SUMIFS(Transactions!$E:$E,Transactions!$G:$G,$B32,Transactions!$H:$H,$C32,Transactions!$J:$J,M$28,Transactions!$K:$K,$B$1)</f>
        <v>0</v>
      </c>
      <c r="N32" s="5" t="n">
        <f aca="false">SUMIFS(Transactions!$E:$E,Transactions!$G:$G,$B32,Transactions!$H:$H,$C32,Transactions!$J:$J,N$28,Transactions!$K:$K,$B$1)</f>
        <v>0</v>
      </c>
      <c r="O32" s="5" t="n">
        <f aca="false">SUMIFS(Transactions!$E:$E,Transactions!$G:$G,$B32,Transactions!$H:$H,$C32,Transactions!$J:$J,O$28,Transactions!$K:$K,$B$1)</f>
        <v>0</v>
      </c>
      <c r="P32" s="5" t="n">
        <f aca="false">SUMIFS(Transactions!$E:$E,Transactions!$G:$G,$B32,Transactions!$H:$H,$C32,Transactions!$J:$J,P$28,Transactions!$K:$K,$B$1)</f>
        <v>0</v>
      </c>
      <c r="Q32" s="5" t="n">
        <f aca="false">SUM(E32:P32)</f>
        <v>0</v>
      </c>
      <c r="R32" s="5" t="n">
        <f aca="false">D32*12</f>
        <v>2520</v>
      </c>
    </row>
    <row r="33" customFormat="false" ht="15" hidden="false" customHeight="false" outlineLevel="0" collapsed="false">
      <c r="A33" s="2" t="n">
        <v>5</v>
      </c>
      <c r="B33" s="2" t="s">
        <v>77</v>
      </c>
      <c r="C33" s="2" t="s">
        <v>82</v>
      </c>
      <c r="D33" s="12" t="n">
        <v>50</v>
      </c>
      <c r="E33" s="5" t="n">
        <f aca="false">SUMIFS(Transactions!$E:$E,Transactions!$G:$G,$B33,Transactions!$H:$H,$C33,Transactions!$J:$J,E$28,Transactions!$K:$K,$B$1)</f>
        <v>0</v>
      </c>
      <c r="F33" s="5" t="n">
        <f aca="false">SUMIFS(Transactions!$E:$E,Transactions!$G:$G,$B33,Transactions!$H:$H,$C33,Transactions!$J:$J,F$28,Transactions!$K:$K,$B$1)</f>
        <v>0</v>
      </c>
      <c r="G33" s="5" t="n">
        <f aca="false">SUMIFS(Transactions!$E:$E,Transactions!$G:$G,$B33,Transactions!$H:$H,$C33,Transactions!$J:$J,G$28,Transactions!$K:$K,$B$1)</f>
        <v>0</v>
      </c>
      <c r="H33" s="5" t="n">
        <f aca="false">SUMIFS(Transactions!$E:$E,Transactions!$G:$G,$B33,Transactions!$H:$H,$C33,Transactions!$J:$J,H$28,Transactions!$K:$K,$B$1)</f>
        <v>0</v>
      </c>
      <c r="I33" s="5" t="n">
        <f aca="false">SUMIFS(Transactions!$E:$E,Transactions!$G:$G,$B33,Transactions!$H:$H,$C33,Transactions!$J:$J,I$28,Transactions!$K:$K,$B$1)</f>
        <v>0</v>
      </c>
      <c r="J33" s="5" t="n">
        <f aca="false">SUMIFS(Transactions!$E:$E,Transactions!$G:$G,$B33,Transactions!$H:$H,$C33,Transactions!$J:$J,J$28,Transactions!$K:$K,$B$1)</f>
        <v>0</v>
      </c>
      <c r="K33" s="5" t="n">
        <f aca="false">SUMIFS(Transactions!$E:$E,Transactions!$G:$G,$B33,Transactions!$H:$H,$C33,Transactions!$J:$J,K$28,Transactions!$K:$K,$B$1)</f>
        <v>0</v>
      </c>
      <c r="L33" s="5" t="n">
        <f aca="false">SUMIFS(Transactions!$E:$E,Transactions!$G:$G,$B33,Transactions!$H:$H,$C33,Transactions!$J:$J,L$28,Transactions!$K:$K,$B$1)</f>
        <v>0</v>
      </c>
      <c r="M33" s="5" t="n">
        <f aca="false">SUMIFS(Transactions!$E:$E,Transactions!$G:$G,$B33,Transactions!$H:$H,$C33,Transactions!$J:$J,M$28,Transactions!$K:$K,$B$1)</f>
        <v>0</v>
      </c>
      <c r="N33" s="5" t="n">
        <f aca="false">SUMIFS(Transactions!$E:$E,Transactions!$G:$G,$B33,Transactions!$H:$H,$C33,Transactions!$J:$J,N$28,Transactions!$K:$K,$B$1)</f>
        <v>0</v>
      </c>
      <c r="O33" s="5" t="n">
        <f aca="false">SUMIFS(Transactions!$E:$E,Transactions!$G:$G,$B33,Transactions!$H:$H,$C33,Transactions!$J:$J,O$28,Transactions!$K:$K,$B$1)</f>
        <v>0</v>
      </c>
      <c r="P33" s="5" t="n">
        <f aca="false">SUMIFS(Transactions!$E:$E,Transactions!$G:$G,$B33,Transactions!$H:$H,$C33,Transactions!$J:$J,P$28,Transactions!$K:$K,$B$1)</f>
        <v>0</v>
      </c>
      <c r="Q33" s="5" t="n">
        <f aca="false">SUM(E33:P33)</f>
        <v>0</v>
      </c>
      <c r="R33" s="5" t="n">
        <f aca="false">D33*12</f>
        <v>600</v>
      </c>
    </row>
    <row r="34" customFormat="false" ht="15" hidden="false" customHeight="false" outlineLevel="0" collapsed="false">
      <c r="A34" s="2" t="n">
        <v>6</v>
      </c>
      <c r="B34" s="2" t="s">
        <v>77</v>
      </c>
      <c r="C34" s="2" t="s">
        <v>83</v>
      </c>
      <c r="D34" s="12" t="n">
        <v>0</v>
      </c>
      <c r="E34" s="5" t="n">
        <f aca="false">SUMIFS(Transactions!$E:$E,Transactions!$G:$G,$B34,Transactions!$H:$H,$C34,Transactions!$J:$J,E$28,Transactions!$K:$K,$B$1)</f>
        <v>0</v>
      </c>
      <c r="F34" s="5" t="n">
        <f aca="false">SUMIFS(Transactions!$E:$E,Transactions!$G:$G,$B34,Transactions!$H:$H,$C34,Transactions!$J:$J,F$28,Transactions!$K:$K,$B$1)</f>
        <v>0</v>
      </c>
      <c r="G34" s="5" t="n">
        <f aca="false">SUMIFS(Transactions!$E:$E,Transactions!$G:$G,$B34,Transactions!$H:$H,$C34,Transactions!$J:$J,G$28,Transactions!$K:$K,$B$1)</f>
        <v>0</v>
      </c>
      <c r="H34" s="5" t="n">
        <f aca="false">SUMIFS(Transactions!$E:$E,Transactions!$G:$G,$B34,Transactions!$H:$H,$C34,Transactions!$J:$J,H$28,Transactions!$K:$K,$B$1)</f>
        <v>0</v>
      </c>
      <c r="I34" s="5" t="n">
        <f aca="false">SUMIFS(Transactions!$E:$E,Transactions!$G:$G,$B34,Transactions!$H:$H,$C34,Transactions!$J:$J,I$28,Transactions!$K:$K,$B$1)</f>
        <v>0</v>
      </c>
      <c r="J34" s="5" t="n">
        <f aca="false">SUMIFS(Transactions!$E:$E,Transactions!$G:$G,$B34,Transactions!$H:$H,$C34,Transactions!$J:$J,J$28,Transactions!$K:$K,$B$1)</f>
        <v>0</v>
      </c>
      <c r="K34" s="5" t="n">
        <f aca="false">SUMIFS(Transactions!$E:$E,Transactions!$G:$G,$B34,Transactions!$H:$H,$C34,Transactions!$J:$J,K$28,Transactions!$K:$K,$B$1)</f>
        <v>0</v>
      </c>
      <c r="L34" s="5" t="n">
        <f aca="false">SUMIFS(Transactions!$E:$E,Transactions!$G:$G,$B34,Transactions!$H:$H,$C34,Transactions!$J:$J,L$28,Transactions!$K:$K,$B$1)</f>
        <v>0</v>
      </c>
      <c r="M34" s="5" t="n">
        <f aca="false">SUMIFS(Transactions!$E:$E,Transactions!$G:$G,$B34,Transactions!$H:$H,$C34,Transactions!$J:$J,M$28,Transactions!$K:$K,$B$1)</f>
        <v>0</v>
      </c>
      <c r="N34" s="5" t="n">
        <f aca="false">SUMIFS(Transactions!$E:$E,Transactions!$G:$G,$B34,Transactions!$H:$H,$C34,Transactions!$J:$J,N$28,Transactions!$K:$K,$B$1)</f>
        <v>0</v>
      </c>
      <c r="O34" s="5" t="n">
        <f aca="false">SUMIFS(Transactions!$E:$E,Transactions!$G:$G,$B34,Transactions!$H:$H,$C34,Transactions!$J:$J,O$28,Transactions!$K:$K,$B$1)</f>
        <v>0</v>
      </c>
      <c r="P34" s="5" t="n">
        <f aca="false">SUMIFS(Transactions!$E:$E,Transactions!$G:$G,$B34,Transactions!$H:$H,$C34,Transactions!$J:$J,P$28,Transactions!$K:$K,$B$1)</f>
        <v>0</v>
      </c>
      <c r="Q34" s="5" t="n">
        <f aca="false">SUM(E34:P34)</f>
        <v>0</v>
      </c>
      <c r="R34" s="5" t="n">
        <f aca="false">D34*12</f>
        <v>0</v>
      </c>
    </row>
    <row r="35" customFormat="false" ht="15" hidden="false" customHeight="false" outlineLevel="0" collapsed="false">
      <c r="A35" s="2" t="n">
        <v>7</v>
      </c>
      <c r="B35" s="2" t="s">
        <v>77</v>
      </c>
      <c r="C35" s="2" t="s">
        <v>84</v>
      </c>
      <c r="D35" s="12" t="n">
        <v>50</v>
      </c>
      <c r="E35" s="5" t="n">
        <f aca="false">SUMIFS(Transactions!$E:$E,Transactions!$G:$G,$B35,Transactions!$H:$H,$C35,Transactions!$J:$J,E$28,Transactions!$K:$K,$B$1)</f>
        <v>0</v>
      </c>
      <c r="F35" s="5" t="n">
        <f aca="false">SUMIFS(Transactions!$E:$E,Transactions!$G:$G,$B35,Transactions!$H:$H,$C35,Transactions!$J:$J,F$28,Transactions!$K:$K,$B$1)</f>
        <v>0</v>
      </c>
      <c r="G35" s="5" t="n">
        <f aca="false">SUMIFS(Transactions!$E:$E,Transactions!$G:$G,$B35,Transactions!$H:$H,$C35,Transactions!$J:$J,G$28,Transactions!$K:$K,$B$1)</f>
        <v>0</v>
      </c>
      <c r="H35" s="5" t="n">
        <f aca="false">SUMIFS(Transactions!$E:$E,Transactions!$G:$G,$B35,Transactions!$H:$H,$C35,Transactions!$J:$J,H$28,Transactions!$K:$K,$B$1)</f>
        <v>0</v>
      </c>
      <c r="I35" s="5" t="n">
        <f aca="false">SUMIFS(Transactions!$E:$E,Transactions!$G:$G,$B35,Transactions!$H:$H,$C35,Transactions!$J:$J,I$28,Transactions!$K:$K,$B$1)</f>
        <v>0</v>
      </c>
      <c r="J35" s="5" t="n">
        <f aca="false">SUMIFS(Transactions!$E:$E,Transactions!$G:$G,$B35,Transactions!$H:$H,$C35,Transactions!$J:$J,J$28,Transactions!$K:$K,$B$1)</f>
        <v>0</v>
      </c>
      <c r="K35" s="5" t="n">
        <f aca="false">SUMIFS(Transactions!$E:$E,Transactions!$G:$G,$B35,Transactions!$H:$H,$C35,Transactions!$J:$J,K$28,Transactions!$K:$K,$B$1)</f>
        <v>0</v>
      </c>
      <c r="L35" s="5" t="n">
        <f aca="false">SUMIFS(Transactions!$E:$E,Transactions!$G:$G,$B35,Transactions!$H:$H,$C35,Transactions!$J:$J,L$28,Transactions!$K:$K,$B$1)</f>
        <v>0</v>
      </c>
      <c r="M35" s="5" t="n">
        <f aca="false">SUMIFS(Transactions!$E:$E,Transactions!$G:$G,$B35,Transactions!$H:$H,$C35,Transactions!$J:$J,M$28,Transactions!$K:$K,$B$1)</f>
        <v>0</v>
      </c>
      <c r="N35" s="5" t="n">
        <f aca="false">SUMIFS(Transactions!$E:$E,Transactions!$G:$G,$B35,Transactions!$H:$H,$C35,Transactions!$J:$J,N$28,Transactions!$K:$K,$B$1)</f>
        <v>0</v>
      </c>
      <c r="O35" s="5" t="n">
        <f aca="false">SUMIFS(Transactions!$E:$E,Transactions!$G:$G,$B35,Transactions!$H:$H,$C35,Transactions!$J:$J,O$28,Transactions!$K:$K,$B$1)</f>
        <v>0</v>
      </c>
      <c r="P35" s="5" t="n">
        <f aca="false">SUMIFS(Transactions!$E:$E,Transactions!$G:$G,$B35,Transactions!$H:$H,$C35,Transactions!$J:$J,P$28,Transactions!$K:$K,$B$1)</f>
        <v>0</v>
      </c>
      <c r="Q35" s="5" t="n">
        <f aca="false">SUM(E35:P35)</f>
        <v>0</v>
      </c>
      <c r="R35" s="5" t="n">
        <f aca="false">D35*12</f>
        <v>600</v>
      </c>
    </row>
    <row r="36" customFormat="false" ht="15" hidden="false" customHeight="false" outlineLevel="0" collapsed="false">
      <c r="A36" s="2" t="n">
        <v>8</v>
      </c>
      <c r="B36" s="2" t="s">
        <v>77</v>
      </c>
      <c r="C36" s="2" t="s">
        <v>85</v>
      </c>
      <c r="D36" s="12" t="n">
        <v>0</v>
      </c>
      <c r="E36" s="5" t="n">
        <f aca="false">SUMIFS(Transactions!$E:$E,Transactions!$G:$G,$B36,Transactions!$H:$H,$C36,Transactions!$J:$J,E$28,Transactions!$K:$K,$B$1)</f>
        <v>0</v>
      </c>
      <c r="F36" s="5" t="n">
        <f aca="false">SUMIFS(Transactions!$E:$E,Transactions!$G:$G,$B36,Transactions!$H:$H,$C36,Transactions!$J:$J,F$28,Transactions!$K:$K,$B$1)</f>
        <v>0</v>
      </c>
      <c r="G36" s="5" t="n">
        <f aca="false">SUMIFS(Transactions!$E:$E,Transactions!$G:$G,$B36,Transactions!$H:$H,$C36,Transactions!$J:$J,G$28,Transactions!$K:$K,$B$1)</f>
        <v>0</v>
      </c>
      <c r="H36" s="5" t="n">
        <f aca="false">SUMIFS(Transactions!$E:$E,Transactions!$G:$G,$B36,Transactions!$H:$H,$C36,Transactions!$J:$J,H$28,Transactions!$K:$K,$B$1)</f>
        <v>0</v>
      </c>
      <c r="I36" s="5" t="n">
        <f aca="false">SUMIFS(Transactions!$E:$E,Transactions!$G:$G,$B36,Transactions!$H:$H,$C36,Transactions!$J:$J,I$28,Transactions!$K:$K,$B$1)</f>
        <v>0</v>
      </c>
      <c r="J36" s="5" t="n">
        <f aca="false">SUMIFS(Transactions!$E:$E,Transactions!$G:$G,$B36,Transactions!$H:$H,$C36,Transactions!$J:$J,J$28,Transactions!$K:$K,$B$1)</f>
        <v>0</v>
      </c>
      <c r="K36" s="5" t="n">
        <f aca="false">SUMIFS(Transactions!$E:$E,Transactions!$G:$G,$B36,Transactions!$H:$H,$C36,Transactions!$J:$J,K$28,Transactions!$K:$K,$B$1)</f>
        <v>0</v>
      </c>
      <c r="L36" s="5" t="n">
        <f aca="false">SUMIFS(Transactions!$E:$E,Transactions!$G:$G,$B36,Transactions!$H:$H,$C36,Transactions!$J:$J,L$28,Transactions!$K:$K,$B$1)</f>
        <v>0</v>
      </c>
      <c r="M36" s="5" t="n">
        <f aca="false">SUMIFS(Transactions!$E:$E,Transactions!$G:$G,$B36,Transactions!$H:$H,$C36,Transactions!$J:$J,M$28,Transactions!$K:$K,$B$1)</f>
        <v>0</v>
      </c>
      <c r="N36" s="5" t="n">
        <f aca="false">SUMIFS(Transactions!$E:$E,Transactions!$G:$G,$B36,Transactions!$H:$H,$C36,Transactions!$J:$J,N$28,Transactions!$K:$K,$B$1)</f>
        <v>0</v>
      </c>
      <c r="O36" s="5" t="n">
        <f aca="false">SUMIFS(Transactions!$E:$E,Transactions!$G:$G,$B36,Transactions!$H:$H,$C36,Transactions!$J:$J,O$28,Transactions!$K:$K,$B$1)</f>
        <v>0</v>
      </c>
      <c r="P36" s="5" t="n">
        <f aca="false">SUMIFS(Transactions!$E:$E,Transactions!$G:$G,$B36,Transactions!$H:$H,$C36,Transactions!$J:$J,P$28,Transactions!$K:$K,$B$1)</f>
        <v>0</v>
      </c>
      <c r="Q36" s="5" t="n">
        <f aca="false">SUM(E36:P36)</f>
        <v>0</v>
      </c>
      <c r="R36" s="5" t="n">
        <f aca="false">D36*12</f>
        <v>0</v>
      </c>
    </row>
    <row r="37" customFormat="false" ht="15" hidden="false" customHeight="false" outlineLevel="0" collapsed="false">
      <c r="A37" s="2" t="n">
        <v>9</v>
      </c>
      <c r="B37" s="2" t="s">
        <v>77</v>
      </c>
      <c r="C37" s="2" t="s">
        <v>86</v>
      </c>
      <c r="D37" s="12" t="n">
        <v>0</v>
      </c>
      <c r="E37" s="5" t="n">
        <f aca="false">SUMIFS(Transactions!$E:$E,Transactions!$G:$G,$B37,Transactions!$H:$H,$C37,Transactions!$J:$J,E$28,Transactions!$K:$K,$B$1)</f>
        <v>0</v>
      </c>
      <c r="F37" s="5" t="n">
        <f aca="false">SUMIFS(Transactions!$E:$E,Transactions!$G:$G,$B37,Transactions!$H:$H,$C37,Transactions!$J:$J,F$28,Transactions!$K:$K,$B$1)</f>
        <v>0</v>
      </c>
      <c r="G37" s="5" t="n">
        <f aca="false">SUMIFS(Transactions!$E:$E,Transactions!$G:$G,$B37,Transactions!$H:$H,$C37,Transactions!$J:$J,G$28,Transactions!$K:$K,$B$1)</f>
        <v>0</v>
      </c>
      <c r="H37" s="5" t="n">
        <f aca="false">SUMIFS(Transactions!$E:$E,Transactions!$G:$G,$B37,Transactions!$H:$H,$C37,Transactions!$J:$J,H$28,Transactions!$K:$K,$B$1)</f>
        <v>0</v>
      </c>
      <c r="I37" s="5" t="n">
        <f aca="false">SUMIFS(Transactions!$E:$E,Transactions!$G:$G,$B37,Transactions!$H:$H,$C37,Transactions!$J:$J,I$28,Transactions!$K:$K,$B$1)</f>
        <v>0</v>
      </c>
      <c r="J37" s="5" t="n">
        <f aca="false">SUMIFS(Transactions!$E:$E,Transactions!$G:$G,$B37,Transactions!$H:$H,$C37,Transactions!$J:$J,J$28,Transactions!$K:$K,$B$1)</f>
        <v>0</v>
      </c>
      <c r="K37" s="5" t="n">
        <f aca="false">SUMIFS(Transactions!$E:$E,Transactions!$G:$G,$B37,Transactions!$H:$H,$C37,Transactions!$J:$J,K$28,Transactions!$K:$K,$B$1)</f>
        <v>0</v>
      </c>
      <c r="L37" s="5" t="n">
        <f aca="false">SUMIFS(Transactions!$E:$E,Transactions!$G:$G,$B37,Transactions!$H:$H,$C37,Transactions!$J:$J,L$28,Transactions!$K:$K,$B$1)</f>
        <v>0</v>
      </c>
      <c r="M37" s="5" t="n">
        <f aca="false">SUMIFS(Transactions!$E:$E,Transactions!$G:$G,$B37,Transactions!$H:$H,$C37,Transactions!$J:$J,M$28,Transactions!$K:$K,$B$1)</f>
        <v>0</v>
      </c>
      <c r="N37" s="5" t="n">
        <f aca="false">SUMIFS(Transactions!$E:$E,Transactions!$G:$G,$B37,Transactions!$H:$H,$C37,Transactions!$J:$J,N$28,Transactions!$K:$K,$B$1)</f>
        <v>0</v>
      </c>
      <c r="O37" s="5" t="n">
        <f aca="false">SUMIFS(Transactions!$E:$E,Transactions!$G:$G,$B37,Transactions!$H:$H,$C37,Transactions!$J:$J,O$28,Transactions!$K:$K,$B$1)</f>
        <v>0</v>
      </c>
      <c r="P37" s="5" t="n">
        <f aca="false">SUMIFS(Transactions!$E:$E,Transactions!$G:$G,$B37,Transactions!$H:$H,$C37,Transactions!$J:$J,P$28,Transactions!$K:$K,$B$1)</f>
        <v>0</v>
      </c>
      <c r="Q37" s="5" t="n">
        <f aca="false">SUM(E37:P37)</f>
        <v>0</v>
      </c>
      <c r="R37" s="5" t="n">
        <f aca="false">D37*12</f>
        <v>0</v>
      </c>
    </row>
    <row r="38" customFormat="false" ht="15" hidden="false" customHeight="false" outlineLevel="0" collapsed="false">
      <c r="A38" s="13"/>
      <c r="B38" s="13"/>
      <c r="C38" s="10" t="s">
        <v>60</v>
      </c>
      <c r="D38" s="11" t="n">
        <f aca="false">SUM(D29:D37)</f>
        <v>2310</v>
      </c>
      <c r="E38" s="11" t="n">
        <f aca="false">SUM(E29:E37)</f>
        <v>0</v>
      </c>
      <c r="F38" s="11" t="n">
        <f aca="false">SUM(F29:F37)</f>
        <v>0</v>
      </c>
      <c r="G38" s="11" t="n">
        <f aca="false">SUM(G29:G37)</f>
        <v>0</v>
      </c>
      <c r="H38" s="11" t="n">
        <f aca="false">SUM(H29:H37)</f>
        <v>0</v>
      </c>
      <c r="I38" s="11" t="n">
        <f aca="false">SUM(I29:I37)</f>
        <v>0</v>
      </c>
      <c r="J38" s="11" t="n">
        <f aca="false">SUM(J29:J37)</f>
        <v>0</v>
      </c>
      <c r="K38" s="11" t="n">
        <f aca="false">SUM(K29:K37)</f>
        <v>0</v>
      </c>
      <c r="L38" s="11" t="n">
        <f aca="false">SUM(L29:L37)</f>
        <v>0</v>
      </c>
      <c r="M38" s="11" t="n">
        <f aca="false">SUM(M29:M37)</f>
        <v>0</v>
      </c>
      <c r="N38" s="11" t="n">
        <f aca="false">SUM(N29:N37)</f>
        <v>0</v>
      </c>
      <c r="O38" s="11" t="n">
        <f aca="false">SUM(O29:O37)</f>
        <v>0</v>
      </c>
      <c r="P38" s="11" t="n">
        <f aca="false">SUM(P29:P37)</f>
        <v>0</v>
      </c>
      <c r="Q38" s="11" t="n">
        <f aca="false">SUM(Q29:Q37)</f>
        <v>0</v>
      </c>
      <c r="R38" s="11" t="n">
        <f aca="false">SUM(R29:R37)</f>
        <v>27720</v>
      </c>
    </row>
    <row r="41" customFormat="false" ht="15" hidden="false" customHeight="false" outlineLevel="0" collapsed="false">
      <c r="A41" s="8" t="s">
        <v>42</v>
      </c>
      <c r="B41" s="8" t="s">
        <v>24</v>
      </c>
      <c r="C41" s="8" t="s">
        <v>87</v>
      </c>
      <c r="D41" s="8" t="s">
        <v>44</v>
      </c>
      <c r="E41" s="9" t="s">
        <v>45</v>
      </c>
      <c r="F41" s="9" t="s">
        <v>46</v>
      </c>
      <c r="G41" s="9" t="s">
        <v>47</v>
      </c>
      <c r="H41" s="9" t="s">
        <v>48</v>
      </c>
      <c r="I41" s="9" t="s">
        <v>49</v>
      </c>
      <c r="J41" s="9" t="s">
        <v>50</v>
      </c>
      <c r="K41" s="9" t="s">
        <v>51</v>
      </c>
      <c r="L41" s="9" t="s">
        <v>38</v>
      </c>
      <c r="M41" s="9" t="s">
        <v>52</v>
      </c>
      <c r="N41" s="9" t="s">
        <v>53</v>
      </c>
      <c r="O41" s="9" t="s">
        <v>54</v>
      </c>
      <c r="P41" s="9" t="s">
        <v>55</v>
      </c>
      <c r="Q41" s="8" t="s">
        <v>56</v>
      </c>
      <c r="R41" s="8" t="s">
        <v>57</v>
      </c>
    </row>
    <row r="42" customFormat="false" ht="15" hidden="false" customHeight="false" outlineLevel="0" collapsed="false">
      <c r="A42" s="2" t="n">
        <v>1</v>
      </c>
      <c r="B42" s="2" t="s">
        <v>87</v>
      </c>
      <c r="C42" s="2" t="s">
        <v>88</v>
      </c>
      <c r="D42" s="12" t="n">
        <v>600</v>
      </c>
      <c r="E42" s="5" t="n">
        <f aca="false">SUMIFS(Transactions!$E:$E,Transactions!$G:$G,$B42,Transactions!$H:$H,$C42,Transactions!$J:$J,E$41,Transactions!$K:$K,$B$1)</f>
        <v>0</v>
      </c>
      <c r="F42" s="5" t="n">
        <f aca="false">SUMIFS(Transactions!$E:$E,Transactions!$G:$G,$B42,Transactions!$H:$H,$C42,Transactions!$J:$J,F$41,Transactions!$K:$K,$B$1)</f>
        <v>0</v>
      </c>
      <c r="G42" s="5" t="n">
        <f aca="false">SUMIFS(Transactions!$E:$E,Transactions!$G:$G,$B42,Transactions!$H:$H,$C42,Transactions!$J:$J,G$41,Transactions!$K:$K,$B$1)</f>
        <v>0</v>
      </c>
      <c r="H42" s="5" t="n">
        <f aca="false">SUMIFS(Transactions!$E:$E,Transactions!$G:$G,$B42,Transactions!$H:$H,$C42,Transactions!$J:$J,H$41,Transactions!$K:$K,$B$1)</f>
        <v>0</v>
      </c>
      <c r="I42" s="5" t="n">
        <f aca="false">SUMIFS(Transactions!$E:$E,Transactions!$G:$G,$B42,Transactions!$H:$H,$C42,Transactions!$J:$J,I$41,Transactions!$K:$K,$B$1)</f>
        <v>0</v>
      </c>
      <c r="J42" s="5" t="n">
        <f aca="false">SUMIFS(Transactions!$E:$E,Transactions!$G:$G,$B42,Transactions!$H:$H,$C42,Transactions!$J:$J,J$41,Transactions!$K:$K,$B$1)</f>
        <v>0</v>
      </c>
      <c r="K42" s="5" t="n">
        <f aca="false">SUMIFS(Transactions!$E:$E,Transactions!$G:$G,$B42,Transactions!$H:$H,$C42,Transactions!$J:$J,K$41,Transactions!$K:$K,$B$1)</f>
        <v>0</v>
      </c>
      <c r="L42" s="5" t="n">
        <f aca="false">SUMIFS(Transactions!$E:$E,Transactions!$G:$G,$B42,Transactions!$H:$H,$C42,Transactions!$J:$J,L$41,Transactions!$K:$K,$B$1)</f>
        <v>0</v>
      </c>
      <c r="M42" s="5" t="n">
        <f aca="false">SUMIFS(Transactions!$E:$E,Transactions!$G:$G,$B42,Transactions!$H:$H,$C42,Transactions!$J:$J,M$41,Transactions!$K:$K,$B$1)</f>
        <v>0</v>
      </c>
      <c r="N42" s="5" t="n">
        <f aca="false">SUMIFS(Transactions!$E:$E,Transactions!$G:$G,$B42,Transactions!$H:$H,$C42,Transactions!$J:$J,N$41,Transactions!$K:$K,$B$1)</f>
        <v>0</v>
      </c>
      <c r="O42" s="5" t="n">
        <f aca="false">SUMIFS(Transactions!$E:$E,Transactions!$G:$G,$B42,Transactions!$H:$H,$C42,Transactions!$J:$J,O$41,Transactions!$K:$K,$B$1)</f>
        <v>0</v>
      </c>
      <c r="P42" s="5" t="n">
        <f aca="false">SUMIFS(Transactions!$E:$E,Transactions!$G:$G,$B42,Transactions!$H:$H,$C42,Transactions!$J:$J,P$41,Transactions!$K:$K,$B$1)</f>
        <v>0</v>
      </c>
      <c r="Q42" s="5" t="n">
        <f aca="false">SUM(E42:P42)</f>
        <v>0</v>
      </c>
      <c r="R42" s="5" t="n">
        <f aca="false">D42*12</f>
        <v>7200</v>
      </c>
    </row>
    <row r="43" customFormat="false" ht="15" hidden="false" customHeight="false" outlineLevel="0" collapsed="false">
      <c r="A43" s="2" t="n">
        <v>2</v>
      </c>
      <c r="B43" s="2" t="s">
        <v>87</v>
      </c>
      <c r="C43" s="2" t="s">
        <v>89</v>
      </c>
      <c r="D43" s="12" t="n">
        <v>600</v>
      </c>
      <c r="E43" s="5" t="n">
        <f aca="false">SUMIFS(Transactions!$E:$E,Transactions!$G:$G,$B43,Transactions!$H:$H,$C43,Transactions!$J:$J,E$41,Transactions!$K:$K,$B$1)</f>
        <v>0</v>
      </c>
      <c r="F43" s="5" t="n">
        <f aca="false">SUMIFS(Transactions!$E:$E,Transactions!$G:$G,$B43,Transactions!$H:$H,$C43,Transactions!$J:$J,F$41,Transactions!$K:$K,$B$1)</f>
        <v>0</v>
      </c>
      <c r="G43" s="5" t="n">
        <f aca="false">SUMIFS(Transactions!$E:$E,Transactions!$G:$G,$B43,Transactions!$H:$H,$C43,Transactions!$J:$J,G$41,Transactions!$K:$K,$B$1)</f>
        <v>0</v>
      </c>
      <c r="H43" s="5" t="n">
        <f aca="false">SUMIFS(Transactions!$E:$E,Transactions!$G:$G,$B43,Transactions!$H:$H,$C43,Transactions!$J:$J,H$41,Transactions!$K:$K,$B$1)</f>
        <v>0</v>
      </c>
      <c r="I43" s="5" t="n">
        <f aca="false">SUMIFS(Transactions!$E:$E,Transactions!$G:$G,$B43,Transactions!$H:$H,$C43,Transactions!$J:$J,I$41,Transactions!$K:$K,$B$1)</f>
        <v>0</v>
      </c>
      <c r="J43" s="5" t="n">
        <f aca="false">SUMIFS(Transactions!$E:$E,Transactions!$G:$G,$B43,Transactions!$H:$H,$C43,Transactions!$J:$J,J$41,Transactions!$K:$K,$B$1)</f>
        <v>0</v>
      </c>
      <c r="K43" s="5" t="n">
        <f aca="false">SUMIFS(Transactions!$E:$E,Transactions!$G:$G,$B43,Transactions!$H:$H,$C43,Transactions!$J:$J,K$41,Transactions!$K:$K,$B$1)</f>
        <v>0</v>
      </c>
      <c r="L43" s="5" t="n">
        <f aca="false">SUMIFS(Transactions!$E:$E,Transactions!$G:$G,$B43,Transactions!$H:$H,$C43,Transactions!$J:$J,L$41,Transactions!$K:$K,$B$1)</f>
        <v>0</v>
      </c>
      <c r="M43" s="5" t="n">
        <f aca="false">SUMIFS(Transactions!$E:$E,Transactions!$G:$G,$B43,Transactions!$H:$H,$C43,Transactions!$J:$J,M$41,Transactions!$K:$K,$B$1)</f>
        <v>0</v>
      </c>
      <c r="N43" s="5" t="n">
        <f aca="false">SUMIFS(Transactions!$E:$E,Transactions!$G:$G,$B43,Transactions!$H:$H,$C43,Transactions!$J:$J,N$41,Transactions!$K:$K,$B$1)</f>
        <v>0</v>
      </c>
      <c r="O43" s="5" t="n">
        <f aca="false">SUMIFS(Transactions!$E:$E,Transactions!$G:$G,$B43,Transactions!$H:$H,$C43,Transactions!$J:$J,O$41,Transactions!$K:$K,$B$1)</f>
        <v>0</v>
      </c>
      <c r="P43" s="5" t="n">
        <f aca="false">SUMIFS(Transactions!$E:$E,Transactions!$G:$G,$B43,Transactions!$H:$H,$C43,Transactions!$J:$J,P$41,Transactions!$K:$K,$B$1)</f>
        <v>0</v>
      </c>
      <c r="Q43" s="5" t="n">
        <f aca="false">SUM(E43:P43)</f>
        <v>0</v>
      </c>
      <c r="R43" s="5" t="n">
        <f aca="false">D43*12</f>
        <v>7200</v>
      </c>
    </row>
    <row r="44" customFormat="false" ht="15" hidden="false" customHeight="false" outlineLevel="0" collapsed="false">
      <c r="A44" s="2" t="n">
        <v>3</v>
      </c>
      <c r="B44" s="2" t="s">
        <v>87</v>
      </c>
      <c r="C44" s="2" t="s">
        <v>90</v>
      </c>
      <c r="D44" s="12" t="n">
        <v>450</v>
      </c>
      <c r="E44" s="5" t="n">
        <f aca="false">SUMIFS(Transactions!$E:$E,Transactions!$G:$G,$B44,Transactions!$H:$H,$C44,Transactions!$J:$J,E$41,Transactions!$K:$K,$B$1)</f>
        <v>0</v>
      </c>
      <c r="F44" s="5" t="n">
        <f aca="false">SUMIFS(Transactions!$E:$E,Transactions!$G:$G,$B44,Transactions!$H:$H,$C44,Transactions!$J:$J,F$41,Transactions!$K:$K,$B$1)</f>
        <v>0</v>
      </c>
      <c r="G44" s="5" t="n">
        <f aca="false">SUMIFS(Transactions!$E:$E,Transactions!$G:$G,$B44,Transactions!$H:$H,$C44,Transactions!$J:$J,G$41,Transactions!$K:$K,$B$1)</f>
        <v>0</v>
      </c>
      <c r="H44" s="5" t="n">
        <f aca="false">SUMIFS(Transactions!$E:$E,Transactions!$G:$G,$B44,Transactions!$H:$H,$C44,Transactions!$J:$J,H$41,Transactions!$K:$K,$B$1)</f>
        <v>0</v>
      </c>
      <c r="I44" s="5" t="n">
        <f aca="false">SUMIFS(Transactions!$E:$E,Transactions!$G:$G,$B44,Transactions!$H:$H,$C44,Transactions!$J:$J,I$41,Transactions!$K:$K,$B$1)</f>
        <v>0</v>
      </c>
      <c r="J44" s="5" t="n">
        <f aca="false">SUMIFS(Transactions!$E:$E,Transactions!$G:$G,$B44,Transactions!$H:$H,$C44,Transactions!$J:$J,J$41,Transactions!$K:$K,$B$1)</f>
        <v>0</v>
      </c>
      <c r="K44" s="5" t="n">
        <f aca="false">SUMIFS(Transactions!$E:$E,Transactions!$G:$G,$B44,Transactions!$H:$H,$C44,Transactions!$J:$J,K$41,Transactions!$K:$K,$B$1)</f>
        <v>0</v>
      </c>
      <c r="L44" s="5" t="n">
        <f aca="false">SUMIFS(Transactions!$E:$E,Transactions!$G:$G,$B44,Transactions!$H:$H,$C44,Transactions!$J:$J,L$41,Transactions!$K:$K,$B$1)</f>
        <v>0</v>
      </c>
      <c r="M44" s="5" t="n">
        <f aca="false">SUMIFS(Transactions!$E:$E,Transactions!$G:$G,$B44,Transactions!$H:$H,$C44,Transactions!$J:$J,M$41,Transactions!$K:$K,$B$1)</f>
        <v>0</v>
      </c>
      <c r="N44" s="5" t="n">
        <f aca="false">SUMIFS(Transactions!$E:$E,Transactions!$G:$G,$B44,Transactions!$H:$H,$C44,Transactions!$J:$J,N$41,Transactions!$K:$K,$B$1)</f>
        <v>0</v>
      </c>
      <c r="O44" s="5" t="n">
        <f aca="false">SUMIFS(Transactions!$E:$E,Transactions!$G:$G,$B44,Transactions!$H:$H,$C44,Transactions!$J:$J,O$41,Transactions!$K:$K,$B$1)</f>
        <v>0</v>
      </c>
      <c r="P44" s="5" t="n">
        <f aca="false">SUMIFS(Transactions!$E:$E,Transactions!$G:$G,$B44,Transactions!$H:$H,$C44,Transactions!$J:$J,P$41,Transactions!$K:$K,$B$1)</f>
        <v>0</v>
      </c>
      <c r="Q44" s="5" t="n">
        <f aca="false">SUM(E44:P44)</f>
        <v>0</v>
      </c>
      <c r="R44" s="5" t="n">
        <f aca="false">D44*12</f>
        <v>5400</v>
      </c>
    </row>
    <row r="45" customFormat="false" ht="15" hidden="false" customHeight="false" outlineLevel="0" collapsed="false">
      <c r="A45" s="2" t="n">
        <v>4</v>
      </c>
      <c r="B45" s="2" t="s">
        <v>87</v>
      </c>
      <c r="C45" s="2" t="s">
        <v>91</v>
      </c>
      <c r="D45" s="12" t="n">
        <v>300</v>
      </c>
      <c r="E45" s="5" t="n">
        <f aca="false">SUMIFS(Transactions!$E:$E,Transactions!$G:$G,$B45,Transactions!$H:$H,$C45,Transactions!$J:$J,E$41,Transactions!$K:$K,$B$1)</f>
        <v>0</v>
      </c>
      <c r="F45" s="5" t="n">
        <f aca="false">SUMIFS(Transactions!$E:$E,Transactions!$G:$G,$B45,Transactions!$H:$H,$C45,Transactions!$J:$J,F$41,Transactions!$K:$K,$B$1)</f>
        <v>0</v>
      </c>
      <c r="G45" s="5" t="n">
        <f aca="false">SUMIFS(Transactions!$E:$E,Transactions!$G:$G,$B45,Transactions!$H:$H,$C45,Transactions!$J:$J,G$41,Transactions!$K:$K,$B$1)</f>
        <v>0</v>
      </c>
      <c r="H45" s="5" t="n">
        <f aca="false">SUMIFS(Transactions!$E:$E,Transactions!$G:$G,$B45,Transactions!$H:$H,$C45,Transactions!$J:$J,H$41,Transactions!$K:$K,$B$1)</f>
        <v>0</v>
      </c>
      <c r="I45" s="5" t="n">
        <f aca="false">SUMIFS(Transactions!$E:$E,Transactions!$G:$G,$B45,Transactions!$H:$H,$C45,Transactions!$J:$J,I$41,Transactions!$K:$K,$B$1)</f>
        <v>0</v>
      </c>
      <c r="J45" s="5" t="n">
        <f aca="false">SUMIFS(Transactions!$E:$E,Transactions!$G:$G,$B45,Transactions!$H:$H,$C45,Transactions!$J:$J,J$41,Transactions!$K:$K,$B$1)</f>
        <v>0</v>
      </c>
      <c r="K45" s="5" t="n">
        <f aca="false">SUMIFS(Transactions!$E:$E,Transactions!$G:$G,$B45,Transactions!$H:$H,$C45,Transactions!$J:$J,K$41,Transactions!$K:$K,$B$1)</f>
        <v>0</v>
      </c>
      <c r="L45" s="5" t="n">
        <f aca="false">SUMIFS(Transactions!$E:$E,Transactions!$G:$G,$B45,Transactions!$H:$H,$C45,Transactions!$J:$J,L$41,Transactions!$K:$K,$B$1)</f>
        <v>0</v>
      </c>
      <c r="M45" s="5" t="n">
        <f aca="false">SUMIFS(Transactions!$E:$E,Transactions!$G:$G,$B45,Transactions!$H:$H,$C45,Transactions!$J:$J,M$41,Transactions!$K:$K,$B$1)</f>
        <v>0</v>
      </c>
      <c r="N45" s="5" t="n">
        <f aca="false">SUMIFS(Transactions!$E:$E,Transactions!$G:$G,$B45,Transactions!$H:$H,$C45,Transactions!$J:$J,N$41,Transactions!$K:$K,$B$1)</f>
        <v>0</v>
      </c>
      <c r="O45" s="5" t="n">
        <f aca="false">SUMIFS(Transactions!$E:$E,Transactions!$G:$G,$B45,Transactions!$H:$H,$C45,Transactions!$J:$J,O$41,Transactions!$K:$K,$B$1)</f>
        <v>0</v>
      </c>
      <c r="P45" s="5" t="n">
        <f aca="false">SUMIFS(Transactions!$E:$E,Transactions!$G:$G,$B45,Transactions!$H:$H,$C45,Transactions!$J:$J,P$41,Transactions!$K:$K,$B$1)</f>
        <v>0</v>
      </c>
      <c r="Q45" s="5" t="n">
        <f aca="false">SUM(E45:P45)</f>
        <v>0</v>
      </c>
      <c r="R45" s="5" t="n">
        <f aca="false">D45*12</f>
        <v>3600</v>
      </c>
    </row>
    <row r="46" customFormat="false" ht="15" hidden="false" customHeight="false" outlineLevel="0" collapsed="false">
      <c r="A46" s="2" t="n">
        <v>5</v>
      </c>
      <c r="B46" s="2" t="s">
        <v>87</v>
      </c>
      <c r="C46" s="2" t="s">
        <v>92</v>
      </c>
      <c r="D46" s="12" t="n">
        <v>600</v>
      </c>
      <c r="E46" s="5" t="n">
        <f aca="false">SUMIFS(Transactions!$E:$E,Transactions!$G:$G,$B46,Transactions!$H:$H,$C46,Transactions!$J:$J,E$41,Transactions!$K:$K,$B$1)</f>
        <v>0</v>
      </c>
      <c r="F46" s="5" t="n">
        <f aca="false">SUMIFS(Transactions!$E:$E,Transactions!$G:$G,$B46,Transactions!$H:$H,$C46,Transactions!$J:$J,F$41,Transactions!$K:$K,$B$1)</f>
        <v>0</v>
      </c>
      <c r="G46" s="5" t="n">
        <f aca="false">SUMIFS(Transactions!$E:$E,Transactions!$G:$G,$B46,Transactions!$H:$H,$C46,Transactions!$J:$J,G$41,Transactions!$K:$K,$B$1)</f>
        <v>0</v>
      </c>
      <c r="H46" s="5" t="n">
        <f aca="false">SUMIFS(Transactions!$E:$E,Transactions!$G:$G,$B46,Transactions!$H:$H,$C46,Transactions!$J:$J,H$41,Transactions!$K:$K,$B$1)</f>
        <v>0</v>
      </c>
      <c r="I46" s="5" t="n">
        <f aca="false">SUMIFS(Transactions!$E:$E,Transactions!$G:$G,$B46,Transactions!$H:$H,$C46,Transactions!$J:$J,I$41,Transactions!$K:$K,$B$1)</f>
        <v>0</v>
      </c>
      <c r="J46" s="5" t="n">
        <f aca="false">SUMIFS(Transactions!$E:$E,Transactions!$G:$G,$B46,Transactions!$H:$H,$C46,Transactions!$J:$J,J$41,Transactions!$K:$K,$B$1)</f>
        <v>0</v>
      </c>
      <c r="K46" s="5" t="n">
        <f aca="false">SUMIFS(Transactions!$E:$E,Transactions!$G:$G,$B46,Transactions!$H:$H,$C46,Transactions!$J:$J,K$41,Transactions!$K:$K,$B$1)</f>
        <v>0</v>
      </c>
      <c r="L46" s="5" t="n">
        <f aca="false">SUMIFS(Transactions!$E:$E,Transactions!$G:$G,$B46,Transactions!$H:$H,$C46,Transactions!$J:$J,L$41,Transactions!$K:$K,$B$1)</f>
        <v>0</v>
      </c>
      <c r="M46" s="5" t="n">
        <f aca="false">SUMIFS(Transactions!$E:$E,Transactions!$G:$G,$B46,Transactions!$H:$H,$C46,Transactions!$J:$J,M$41,Transactions!$K:$K,$B$1)</f>
        <v>0</v>
      </c>
      <c r="N46" s="5" t="n">
        <f aca="false">SUMIFS(Transactions!$E:$E,Transactions!$G:$G,$B46,Transactions!$H:$H,$C46,Transactions!$J:$J,N$41,Transactions!$K:$K,$B$1)</f>
        <v>0</v>
      </c>
      <c r="O46" s="5" t="n">
        <f aca="false">SUMIFS(Transactions!$E:$E,Transactions!$G:$G,$B46,Transactions!$H:$H,$C46,Transactions!$J:$J,O$41,Transactions!$K:$K,$B$1)</f>
        <v>0</v>
      </c>
      <c r="P46" s="5" t="n">
        <f aca="false">SUMIFS(Transactions!$E:$E,Transactions!$G:$G,$B46,Transactions!$H:$H,$C46,Transactions!$J:$J,P$41,Transactions!$K:$K,$B$1)</f>
        <v>0</v>
      </c>
      <c r="Q46" s="5" t="n">
        <f aca="false">SUM(E46:P46)</f>
        <v>0</v>
      </c>
      <c r="R46" s="5" t="n">
        <f aca="false">D46*12</f>
        <v>7200</v>
      </c>
    </row>
    <row r="47" customFormat="false" ht="15" hidden="false" customHeight="false" outlineLevel="0" collapsed="false">
      <c r="A47" s="2" t="n">
        <v>6</v>
      </c>
      <c r="B47" s="2" t="s">
        <v>87</v>
      </c>
      <c r="C47" s="2" t="s">
        <v>93</v>
      </c>
      <c r="D47" s="12" t="n">
        <v>1000</v>
      </c>
      <c r="E47" s="5" t="n">
        <f aca="false">SUMIFS(Transactions!$E:$E,Transactions!$G:$G,$B47,Transactions!$H:$H,$C47,Transactions!$J:$J,E$41,Transactions!$K:$K,$B$1)</f>
        <v>0</v>
      </c>
      <c r="F47" s="5" t="n">
        <f aca="false">SUMIFS(Transactions!$E:$E,Transactions!$G:$G,$B47,Transactions!$H:$H,$C47,Transactions!$J:$J,F$41,Transactions!$K:$K,$B$1)</f>
        <v>0</v>
      </c>
      <c r="G47" s="5" t="n">
        <f aca="false">SUMIFS(Transactions!$E:$E,Transactions!$G:$G,$B47,Transactions!$H:$H,$C47,Transactions!$J:$J,G$41,Transactions!$K:$K,$B$1)</f>
        <v>0</v>
      </c>
      <c r="H47" s="5" t="n">
        <f aca="false">SUMIFS(Transactions!$E:$E,Transactions!$G:$G,$B47,Transactions!$H:$H,$C47,Transactions!$J:$J,H$41,Transactions!$K:$K,$B$1)</f>
        <v>0</v>
      </c>
      <c r="I47" s="5" t="n">
        <f aca="false">SUMIFS(Transactions!$E:$E,Transactions!$G:$G,$B47,Transactions!$H:$H,$C47,Transactions!$J:$J,I$41,Transactions!$K:$K,$B$1)</f>
        <v>0</v>
      </c>
      <c r="J47" s="5" t="n">
        <f aca="false">SUMIFS(Transactions!$E:$E,Transactions!$G:$G,$B47,Transactions!$H:$H,$C47,Transactions!$J:$J,J$41,Transactions!$K:$K,$B$1)</f>
        <v>0</v>
      </c>
      <c r="K47" s="5" t="n">
        <f aca="false">SUMIFS(Transactions!$E:$E,Transactions!$G:$G,$B47,Transactions!$H:$H,$C47,Transactions!$J:$J,K$41,Transactions!$K:$K,$B$1)</f>
        <v>0</v>
      </c>
      <c r="L47" s="5" t="n">
        <f aca="false">SUMIFS(Transactions!$E:$E,Transactions!$G:$G,$B47,Transactions!$H:$H,$C47,Transactions!$J:$J,L$41,Transactions!$K:$K,$B$1)</f>
        <v>0</v>
      </c>
      <c r="M47" s="5" t="n">
        <f aca="false">SUMIFS(Transactions!$E:$E,Transactions!$G:$G,$B47,Transactions!$H:$H,$C47,Transactions!$J:$J,M$41,Transactions!$K:$K,$B$1)</f>
        <v>0</v>
      </c>
      <c r="N47" s="5" t="n">
        <f aca="false">SUMIFS(Transactions!$E:$E,Transactions!$G:$G,$B47,Transactions!$H:$H,$C47,Transactions!$J:$J,N$41,Transactions!$K:$K,$B$1)</f>
        <v>0</v>
      </c>
      <c r="O47" s="5" t="n">
        <f aca="false">SUMIFS(Transactions!$E:$E,Transactions!$G:$G,$B47,Transactions!$H:$H,$C47,Transactions!$J:$J,O$41,Transactions!$K:$K,$B$1)</f>
        <v>0</v>
      </c>
      <c r="P47" s="5" t="n">
        <f aca="false">SUMIFS(Transactions!$E:$E,Transactions!$G:$G,$B47,Transactions!$H:$H,$C47,Transactions!$J:$J,P$41,Transactions!$K:$K,$B$1)</f>
        <v>0</v>
      </c>
      <c r="Q47" s="5" t="n">
        <f aca="false">SUM(E47:P47)</f>
        <v>0</v>
      </c>
      <c r="R47" s="5" t="n">
        <f aca="false">D47*12</f>
        <v>12000</v>
      </c>
    </row>
    <row r="48" customFormat="false" ht="15" hidden="false" customHeight="false" outlineLevel="0" collapsed="false">
      <c r="A48" s="13"/>
      <c r="B48" s="13"/>
      <c r="C48" s="10" t="s">
        <v>61</v>
      </c>
      <c r="D48" s="11" t="n">
        <f aca="false">SUM(D42:D47)</f>
        <v>3550</v>
      </c>
      <c r="E48" s="11" t="n">
        <f aca="false">SUM(E42:E47)</f>
        <v>0</v>
      </c>
      <c r="F48" s="11" t="n">
        <f aca="false">SUM(F42:F47)</f>
        <v>0</v>
      </c>
      <c r="G48" s="11" t="n">
        <f aca="false">SUM(G42:G47)</f>
        <v>0</v>
      </c>
      <c r="H48" s="11" t="n">
        <f aca="false">SUM(H42:H47)</f>
        <v>0</v>
      </c>
      <c r="I48" s="11" t="n">
        <f aca="false">SUM(I42:I47)</f>
        <v>0</v>
      </c>
      <c r="J48" s="11" t="n">
        <f aca="false">SUM(J42:J47)</f>
        <v>0</v>
      </c>
      <c r="K48" s="11" t="n">
        <f aca="false">SUM(K42:K47)</f>
        <v>0</v>
      </c>
      <c r="L48" s="11" t="n">
        <f aca="false">SUM(L42:L47)</f>
        <v>0</v>
      </c>
      <c r="M48" s="11" t="n">
        <f aca="false">SUM(M42:M47)</f>
        <v>0</v>
      </c>
      <c r="N48" s="11" t="n">
        <f aca="false">SUM(N42:N47)</f>
        <v>0</v>
      </c>
      <c r="O48" s="11" t="n">
        <f aca="false">SUM(O42:O47)</f>
        <v>0</v>
      </c>
      <c r="P48" s="11" t="n">
        <f aca="false">SUM(P42:P47)</f>
        <v>0</v>
      </c>
      <c r="Q48" s="11" t="n">
        <f aca="false">SUM(Q42:Q47)</f>
        <v>0</v>
      </c>
      <c r="R48" s="11" t="n">
        <f aca="false">SUM(R42:R47)</f>
        <v>42600</v>
      </c>
    </row>
    <row r="51" customFormat="false" ht="15" hidden="false" customHeight="false" outlineLevel="0" collapsed="false">
      <c r="A51" s="8" t="s">
        <v>42</v>
      </c>
      <c r="B51" s="8" t="s">
        <v>24</v>
      </c>
      <c r="C51" s="8" t="s">
        <v>94</v>
      </c>
      <c r="D51" s="8" t="s">
        <v>44</v>
      </c>
      <c r="E51" s="9" t="s">
        <v>45</v>
      </c>
      <c r="F51" s="9" t="s">
        <v>46</v>
      </c>
      <c r="G51" s="9" t="s">
        <v>47</v>
      </c>
      <c r="H51" s="9" t="s">
        <v>48</v>
      </c>
      <c r="I51" s="9" t="s">
        <v>49</v>
      </c>
      <c r="J51" s="9" t="s">
        <v>50</v>
      </c>
      <c r="K51" s="9" t="s">
        <v>51</v>
      </c>
      <c r="L51" s="9" t="s">
        <v>38</v>
      </c>
      <c r="M51" s="9" t="s">
        <v>52</v>
      </c>
      <c r="N51" s="9" t="s">
        <v>53</v>
      </c>
      <c r="O51" s="9" t="s">
        <v>54</v>
      </c>
      <c r="P51" s="9" t="s">
        <v>55</v>
      </c>
      <c r="Q51" s="8" t="s">
        <v>56</v>
      </c>
      <c r="R51" s="8" t="s">
        <v>57</v>
      </c>
    </row>
    <row r="52" customFormat="false" ht="15" hidden="false" customHeight="false" outlineLevel="0" collapsed="false">
      <c r="A52" s="2" t="n">
        <v>1</v>
      </c>
      <c r="B52" s="2" t="s">
        <v>94</v>
      </c>
      <c r="C52" s="2" t="s">
        <v>95</v>
      </c>
      <c r="D52" s="12" t="n">
        <v>360</v>
      </c>
      <c r="E52" s="5" t="n">
        <f aca="false">SUMIFS(Transactions!$E:$E,Transactions!$G:$G,$B52,Transactions!$H:$H,$C52,Transactions!$J:$J,E$51,Transactions!$K:$K,$B$1)</f>
        <v>0</v>
      </c>
      <c r="F52" s="5" t="n">
        <f aca="false">SUMIFS(Transactions!$E:$E,Transactions!$G:$G,$B52,Transactions!$H:$H,$C52,Transactions!$J:$J,F$51,Transactions!$K:$K,$B$1)</f>
        <v>0</v>
      </c>
      <c r="G52" s="5" t="n">
        <f aca="false">SUMIFS(Transactions!$E:$E,Transactions!$G:$G,$B52,Transactions!$H:$H,$C52,Transactions!$J:$J,G$51,Transactions!$K:$K,$B$1)</f>
        <v>0</v>
      </c>
      <c r="H52" s="5" t="n">
        <f aca="false">SUMIFS(Transactions!$E:$E,Transactions!$G:$G,$B52,Transactions!$H:$H,$C52,Transactions!$J:$J,H$51,Transactions!$K:$K,$B$1)</f>
        <v>0</v>
      </c>
      <c r="I52" s="5" t="n">
        <f aca="false">SUMIFS(Transactions!$E:$E,Transactions!$G:$G,$B52,Transactions!$H:$H,$C52,Transactions!$J:$J,I$51,Transactions!$K:$K,$B$1)</f>
        <v>0</v>
      </c>
      <c r="J52" s="5" t="n">
        <f aca="false">SUMIFS(Transactions!$E:$E,Transactions!$G:$G,$B52,Transactions!$H:$H,$C52,Transactions!$J:$J,J$51,Transactions!$K:$K,$B$1)</f>
        <v>0</v>
      </c>
      <c r="K52" s="5" t="n">
        <f aca="false">SUMIFS(Transactions!$E:$E,Transactions!$G:$G,$B52,Transactions!$H:$H,$C52,Transactions!$J:$J,K$51,Transactions!$K:$K,$B$1)</f>
        <v>0</v>
      </c>
      <c r="L52" s="5" t="n">
        <f aca="false">SUMIFS(Transactions!$E:$E,Transactions!$G:$G,$B52,Transactions!$H:$H,$C52,Transactions!$J:$J,L$51,Transactions!$K:$K,$B$1)</f>
        <v>0</v>
      </c>
      <c r="M52" s="5" t="n">
        <f aca="false">SUMIFS(Transactions!$E:$E,Transactions!$G:$G,$B52,Transactions!$H:$H,$C52,Transactions!$J:$J,M$51,Transactions!$K:$K,$B$1)</f>
        <v>0</v>
      </c>
      <c r="N52" s="5" t="n">
        <f aca="false">SUMIFS(Transactions!$E:$E,Transactions!$G:$G,$B52,Transactions!$H:$H,$C52,Transactions!$J:$J,N$51,Transactions!$K:$K,$B$1)</f>
        <v>0</v>
      </c>
      <c r="O52" s="5" t="n">
        <f aca="false">SUMIFS(Transactions!$E:$E,Transactions!$G:$G,$B52,Transactions!$H:$H,$C52,Transactions!$J:$J,O$51,Transactions!$K:$K,$B$1)</f>
        <v>0</v>
      </c>
      <c r="P52" s="5" t="n">
        <f aca="false">SUMIFS(Transactions!$E:$E,Transactions!$G:$G,$B52,Transactions!$H:$H,$C52,Transactions!$J:$J,P$51,Transactions!$K:$K,$B$1)</f>
        <v>0</v>
      </c>
      <c r="Q52" s="5" t="n">
        <f aca="false">SUM(E52:P52)</f>
        <v>0</v>
      </c>
      <c r="R52" s="5" t="n">
        <f aca="false">D52*12</f>
        <v>4320</v>
      </c>
    </row>
    <row r="53" customFormat="false" ht="15" hidden="false" customHeight="false" outlineLevel="0" collapsed="false">
      <c r="A53" s="2" t="n">
        <v>2</v>
      </c>
      <c r="B53" s="2" t="s">
        <v>94</v>
      </c>
      <c r="C53" s="2" t="s">
        <v>96</v>
      </c>
      <c r="D53" s="12" t="n">
        <v>800</v>
      </c>
      <c r="E53" s="5" t="n">
        <f aca="false">SUMIFS(Transactions!$E:$E,Transactions!$G:$G,$B53,Transactions!$H:$H,$C53,Transactions!$J:$J,E$51,Transactions!$K:$K,$B$1)</f>
        <v>0</v>
      </c>
      <c r="F53" s="5" t="n">
        <f aca="false">SUMIFS(Transactions!$E:$E,Transactions!$G:$G,$B53,Transactions!$H:$H,$C53,Transactions!$J:$J,F$51,Transactions!$K:$K,$B$1)</f>
        <v>0</v>
      </c>
      <c r="G53" s="5" t="n">
        <f aca="false">SUMIFS(Transactions!$E:$E,Transactions!$G:$G,$B53,Transactions!$H:$H,$C53,Transactions!$J:$J,G$51,Transactions!$K:$K,$B$1)</f>
        <v>0</v>
      </c>
      <c r="H53" s="5" t="n">
        <f aca="false">SUMIFS(Transactions!$E:$E,Transactions!$G:$G,$B53,Transactions!$H:$H,$C53,Transactions!$J:$J,H$51,Transactions!$K:$K,$B$1)</f>
        <v>0</v>
      </c>
      <c r="I53" s="5" t="n">
        <f aca="false">SUMIFS(Transactions!$E:$E,Transactions!$G:$G,$B53,Transactions!$H:$H,$C53,Transactions!$J:$J,I$51,Transactions!$K:$K,$B$1)</f>
        <v>0</v>
      </c>
      <c r="J53" s="5" t="n">
        <f aca="false">SUMIFS(Transactions!$E:$E,Transactions!$G:$G,$B53,Transactions!$H:$H,$C53,Transactions!$J:$J,J$51,Transactions!$K:$K,$B$1)</f>
        <v>0</v>
      </c>
      <c r="K53" s="5" t="n">
        <f aca="false">SUMIFS(Transactions!$E:$E,Transactions!$G:$G,$B53,Transactions!$H:$H,$C53,Transactions!$J:$J,K$51,Transactions!$K:$K,$B$1)</f>
        <v>0</v>
      </c>
      <c r="L53" s="5" t="n">
        <f aca="false">SUMIFS(Transactions!$E:$E,Transactions!$G:$G,$B53,Transactions!$H:$H,$C53,Transactions!$J:$J,L$51,Transactions!$K:$K,$B$1)</f>
        <v>0</v>
      </c>
      <c r="M53" s="5" t="n">
        <f aca="false">SUMIFS(Transactions!$E:$E,Transactions!$G:$G,$B53,Transactions!$H:$H,$C53,Transactions!$J:$J,M$51,Transactions!$K:$K,$B$1)</f>
        <v>0</v>
      </c>
      <c r="N53" s="5" t="n">
        <f aca="false">SUMIFS(Transactions!$E:$E,Transactions!$G:$G,$B53,Transactions!$H:$H,$C53,Transactions!$J:$J,N$51,Transactions!$K:$K,$B$1)</f>
        <v>0</v>
      </c>
      <c r="O53" s="5" t="n">
        <f aca="false">SUMIFS(Transactions!$E:$E,Transactions!$G:$G,$B53,Transactions!$H:$H,$C53,Transactions!$J:$J,O$51,Transactions!$K:$K,$B$1)</f>
        <v>0</v>
      </c>
      <c r="P53" s="5" t="n">
        <f aca="false">SUMIFS(Transactions!$E:$E,Transactions!$G:$G,$B53,Transactions!$H:$H,$C53,Transactions!$J:$J,P$51,Transactions!$K:$K,$B$1)</f>
        <v>0</v>
      </c>
      <c r="Q53" s="5" t="n">
        <f aca="false">SUM(E53:P53)</f>
        <v>0</v>
      </c>
      <c r="R53" s="5" t="n">
        <f aca="false">D53*12</f>
        <v>9600</v>
      </c>
    </row>
    <row r="54" customFormat="false" ht="15" hidden="false" customHeight="false" outlineLevel="0" collapsed="false">
      <c r="A54" s="2" t="n">
        <v>3</v>
      </c>
      <c r="B54" s="2" t="s">
        <v>94</v>
      </c>
      <c r="C54" s="2" t="s">
        <v>97</v>
      </c>
      <c r="D54" s="12" t="n">
        <v>0</v>
      </c>
      <c r="E54" s="5" t="n">
        <f aca="false">SUMIFS(Transactions!$E:$E,Transactions!$G:$G,$B54,Transactions!$H:$H,$C54,Transactions!$J:$J,E$51,Transactions!$K:$K,$B$1)</f>
        <v>0</v>
      </c>
      <c r="F54" s="5" t="n">
        <f aca="false">SUMIFS(Transactions!$E:$E,Transactions!$G:$G,$B54,Transactions!$H:$H,$C54,Transactions!$J:$J,F$51,Transactions!$K:$K,$B$1)</f>
        <v>0</v>
      </c>
      <c r="G54" s="5" t="n">
        <f aca="false">SUMIFS(Transactions!$E:$E,Transactions!$G:$G,$B54,Transactions!$H:$H,$C54,Transactions!$J:$J,G$51,Transactions!$K:$K,$B$1)</f>
        <v>0</v>
      </c>
      <c r="H54" s="5" t="n">
        <f aca="false">SUMIFS(Transactions!$E:$E,Transactions!$G:$G,$B54,Transactions!$H:$H,$C54,Transactions!$J:$J,H$51,Transactions!$K:$K,$B$1)</f>
        <v>0</v>
      </c>
      <c r="I54" s="5" t="n">
        <f aca="false">SUMIFS(Transactions!$E:$E,Transactions!$G:$G,$B54,Transactions!$H:$H,$C54,Transactions!$J:$J,I$51,Transactions!$K:$K,$B$1)</f>
        <v>0</v>
      </c>
      <c r="J54" s="5" t="n">
        <f aca="false">SUMIFS(Transactions!$E:$E,Transactions!$G:$G,$B54,Transactions!$H:$H,$C54,Transactions!$J:$J,J$51,Transactions!$K:$K,$B$1)</f>
        <v>0</v>
      </c>
      <c r="K54" s="5" t="n">
        <f aca="false">SUMIFS(Transactions!$E:$E,Transactions!$G:$G,$B54,Transactions!$H:$H,$C54,Transactions!$J:$J,K$51,Transactions!$K:$K,$B$1)</f>
        <v>0</v>
      </c>
      <c r="L54" s="5" t="n">
        <f aca="false">SUMIFS(Transactions!$E:$E,Transactions!$G:$G,$B54,Transactions!$H:$H,$C54,Transactions!$J:$J,L$51,Transactions!$K:$K,$B$1)</f>
        <v>0</v>
      </c>
      <c r="M54" s="5" t="n">
        <f aca="false">SUMIFS(Transactions!$E:$E,Transactions!$G:$G,$B54,Transactions!$H:$H,$C54,Transactions!$J:$J,M$51,Transactions!$K:$K,$B$1)</f>
        <v>0</v>
      </c>
      <c r="N54" s="5" t="n">
        <f aca="false">SUMIFS(Transactions!$E:$E,Transactions!$G:$G,$B54,Transactions!$H:$H,$C54,Transactions!$J:$J,N$51,Transactions!$K:$K,$B$1)</f>
        <v>0</v>
      </c>
      <c r="O54" s="5" t="n">
        <f aca="false">SUMIFS(Transactions!$E:$E,Transactions!$G:$G,$B54,Transactions!$H:$H,$C54,Transactions!$J:$J,O$51,Transactions!$K:$K,$B$1)</f>
        <v>0</v>
      </c>
      <c r="P54" s="5" t="n">
        <f aca="false">SUMIFS(Transactions!$E:$E,Transactions!$G:$G,$B54,Transactions!$H:$H,$C54,Transactions!$J:$J,P$51,Transactions!$K:$K,$B$1)</f>
        <v>0</v>
      </c>
      <c r="Q54" s="5" t="n">
        <f aca="false">SUM(E54:P54)</f>
        <v>0</v>
      </c>
      <c r="R54" s="5" t="n">
        <f aca="false">D54*12</f>
        <v>0</v>
      </c>
    </row>
    <row r="55" customFormat="false" ht="15" hidden="false" customHeight="false" outlineLevel="0" collapsed="false">
      <c r="A55" s="2" t="n">
        <v>4</v>
      </c>
      <c r="B55" s="2" t="s">
        <v>94</v>
      </c>
      <c r="C55" s="2" t="s">
        <v>98</v>
      </c>
      <c r="D55" s="12" t="n">
        <v>0</v>
      </c>
      <c r="E55" s="5" t="n">
        <f aca="false">SUMIFS(Transactions!$E:$E,Transactions!$G:$G,$B55,Transactions!$H:$H,$C55,Transactions!$J:$J,E$51,Transactions!$K:$K,$B$1)</f>
        <v>0</v>
      </c>
      <c r="F55" s="5" t="n">
        <f aca="false">SUMIFS(Transactions!$E:$E,Transactions!$G:$G,$B55,Transactions!$H:$H,$C55,Transactions!$J:$J,F$51,Transactions!$K:$K,$B$1)</f>
        <v>0</v>
      </c>
      <c r="G55" s="5" t="n">
        <f aca="false">SUMIFS(Transactions!$E:$E,Transactions!$G:$G,$B55,Transactions!$H:$H,$C55,Transactions!$J:$J,G$51,Transactions!$K:$K,$B$1)</f>
        <v>0</v>
      </c>
      <c r="H55" s="5" t="n">
        <f aca="false">SUMIFS(Transactions!$E:$E,Transactions!$G:$G,$B55,Transactions!$H:$H,$C55,Transactions!$J:$J,H$51,Transactions!$K:$K,$B$1)</f>
        <v>0</v>
      </c>
      <c r="I55" s="5" t="n">
        <f aca="false">SUMIFS(Transactions!$E:$E,Transactions!$G:$G,$B55,Transactions!$H:$H,$C55,Transactions!$J:$J,I$51,Transactions!$K:$K,$B$1)</f>
        <v>0</v>
      </c>
      <c r="J55" s="5" t="n">
        <f aca="false">SUMIFS(Transactions!$E:$E,Transactions!$G:$G,$B55,Transactions!$H:$H,$C55,Transactions!$J:$J,J$51,Transactions!$K:$K,$B$1)</f>
        <v>0</v>
      </c>
      <c r="K55" s="5" t="n">
        <f aca="false">SUMIFS(Transactions!$E:$E,Transactions!$G:$G,$B55,Transactions!$H:$H,$C55,Transactions!$J:$J,K$51,Transactions!$K:$K,$B$1)</f>
        <v>0</v>
      </c>
      <c r="L55" s="5" t="n">
        <f aca="false">SUMIFS(Transactions!$E:$E,Transactions!$G:$G,$B55,Transactions!$H:$H,$C55,Transactions!$J:$J,L$51,Transactions!$K:$K,$B$1)</f>
        <v>0</v>
      </c>
      <c r="M55" s="5" t="n">
        <f aca="false">SUMIFS(Transactions!$E:$E,Transactions!$G:$G,$B55,Transactions!$H:$H,$C55,Transactions!$J:$J,M$51,Transactions!$K:$K,$B$1)</f>
        <v>0</v>
      </c>
      <c r="N55" s="5" t="n">
        <f aca="false">SUMIFS(Transactions!$E:$E,Transactions!$G:$G,$B55,Transactions!$H:$H,$C55,Transactions!$J:$J,N$51,Transactions!$K:$K,$B$1)</f>
        <v>0</v>
      </c>
      <c r="O55" s="5" t="n">
        <f aca="false">SUMIFS(Transactions!$E:$E,Transactions!$G:$G,$B55,Transactions!$H:$H,$C55,Transactions!$J:$J,O$51,Transactions!$K:$K,$B$1)</f>
        <v>0</v>
      </c>
      <c r="P55" s="5" t="n">
        <f aca="false">SUMIFS(Transactions!$E:$E,Transactions!$G:$G,$B55,Transactions!$H:$H,$C55,Transactions!$J:$J,P$51,Transactions!$K:$K,$B$1)</f>
        <v>0</v>
      </c>
      <c r="Q55" s="5" t="n">
        <f aca="false">SUM(E55:P55)</f>
        <v>0</v>
      </c>
      <c r="R55" s="5" t="n">
        <f aca="false">D55*12</f>
        <v>0</v>
      </c>
    </row>
    <row r="56" customFormat="false" ht="15" hidden="false" customHeight="false" outlineLevel="0" collapsed="false">
      <c r="A56" s="2" t="n">
        <v>5</v>
      </c>
      <c r="B56" s="2" t="s">
        <v>94</v>
      </c>
      <c r="C56" s="2" t="s">
        <v>99</v>
      </c>
      <c r="D56" s="12" t="n">
        <v>0</v>
      </c>
      <c r="E56" s="5" t="n">
        <f aca="false">SUMIFS(Transactions!$E:$E,Transactions!$G:$G,$B56,Transactions!$H:$H,$C56,Transactions!$J:$J,E$51,Transactions!$K:$K,$B$1)</f>
        <v>0</v>
      </c>
      <c r="F56" s="5" t="n">
        <f aca="false">SUMIFS(Transactions!$E:$E,Transactions!$G:$G,$B56,Transactions!$H:$H,$C56,Transactions!$J:$J,F$51,Transactions!$K:$K,$B$1)</f>
        <v>0</v>
      </c>
      <c r="G56" s="5" t="n">
        <f aca="false">SUMIFS(Transactions!$E:$E,Transactions!$G:$G,$B56,Transactions!$H:$H,$C56,Transactions!$J:$J,G$51,Transactions!$K:$K,$B$1)</f>
        <v>0</v>
      </c>
      <c r="H56" s="5" t="n">
        <f aca="false">SUMIFS(Transactions!$E:$E,Transactions!$G:$G,$B56,Transactions!$H:$H,$C56,Transactions!$J:$J,H$51,Transactions!$K:$K,$B$1)</f>
        <v>0</v>
      </c>
      <c r="I56" s="5" t="n">
        <f aca="false">SUMIFS(Transactions!$E:$E,Transactions!$G:$G,$B56,Transactions!$H:$H,$C56,Transactions!$J:$J,I$51,Transactions!$K:$K,$B$1)</f>
        <v>0</v>
      </c>
      <c r="J56" s="5" t="n">
        <f aca="false">SUMIFS(Transactions!$E:$E,Transactions!$G:$G,$B56,Transactions!$H:$H,$C56,Transactions!$J:$J,J$51,Transactions!$K:$K,$B$1)</f>
        <v>0</v>
      </c>
      <c r="K56" s="5" t="n">
        <f aca="false">SUMIFS(Transactions!$E:$E,Transactions!$G:$G,$B56,Transactions!$H:$H,$C56,Transactions!$J:$J,K$51,Transactions!$K:$K,$B$1)</f>
        <v>0</v>
      </c>
      <c r="L56" s="5" t="n">
        <f aca="false">SUMIFS(Transactions!$E:$E,Transactions!$G:$G,$B56,Transactions!$H:$H,$C56,Transactions!$J:$J,L$51,Transactions!$K:$K,$B$1)</f>
        <v>0</v>
      </c>
      <c r="M56" s="5" t="n">
        <f aca="false">SUMIFS(Transactions!$E:$E,Transactions!$G:$G,$B56,Transactions!$H:$H,$C56,Transactions!$J:$J,M$51,Transactions!$K:$K,$B$1)</f>
        <v>0</v>
      </c>
      <c r="N56" s="5" t="n">
        <f aca="false">SUMIFS(Transactions!$E:$E,Transactions!$G:$G,$B56,Transactions!$H:$H,$C56,Transactions!$J:$J,N$51,Transactions!$K:$K,$B$1)</f>
        <v>0</v>
      </c>
      <c r="O56" s="5" t="n">
        <f aca="false">SUMIFS(Transactions!$E:$E,Transactions!$G:$G,$B56,Transactions!$H:$H,$C56,Transactions!$J:$J,O$51,Transactions!$K:$K,$B$1)</f>
        <v>0</v>
      </c>
      <c r="P56" s="5" t="n">
        <f aca="false">SUMIFS(Transactions!$E:$E,Transactions!$G:$G,$B56,Transactions!$H:$H,$C56,Transactions!$J:$J,P$51,Transactions!$K:$K,$B$1)</f>
        <v>0</v>
      </c>
      <c r="Q56" s="5" t="n">
        <f aca="false">SUM(E56:P56)</f>
        <v>0</v>
      </c>
      <c r="R56" s="5" t="n">
        <f aca="false">D56*12</f>
        <v>0</v>
      </c>
    </row>
    <row r="57" customFormat="false" ht="15" hidden="false" customHeight="false" outlineLevel="0" collapsed="false">
      <c r="A57" s="13"/>
      <c r="B57" s="13"/>
      <c r="C57" s="10" t="s">
        <v>62</v>
      </c>
      <c r="D57" s="11" t="n">
        <f aca="false">SUM(D52:D56)</f>
        <v>1160</v>
      </c>
      <c r="E57" s="11" t="n">
        <f aca="false">SUM(E52:E56)</f>
        <v>0</v>
      </c>
      <c r="F57" s="11" t="n">
        <f aca="false">SUM(F52:F56)</f>
        <v>0</v>
      </c>
      <c r="G57" s="11" t="n">
        <f aca="false">SUM(G52:G56)</f>
        <v>0</v>
      </c>
      <c r="H57" s="11" t="n">
        <f aca="false">SUM(H52:H56)</f>
        <v>0</v>
      </c>
      <c r="I57" s="11" t="n">
        <f aca="false">SUM(I52:I56)</f>
        <v>0</v>
      </c>
      <c r="J57" s="11" t="n">
        <f aca="false">SUM(J52:J56)</f>
        <v>0</v>
      </c>
      <c r="K57" s="11" t="n">
        <f aca="false">SUM(K52:K56)</f>
        <v>0</v>
      </c>
      <c r="L57" s="11" t="n">
        <f aca="false">SUM(L52:L56)</f>
        <v>0</v>
      </c>
      <c r="M57" s="11" t="n">
        <f aca="false">SUM(M52:M56)</f>
        <v>0</v>
      </c>
      <c r="N57" s="11" t="n">
        <f aca="false">SUM(N52:N56)</f>
        <v>0</v>
      </c>
      <c r="O57" s="11" t="n">
        <f aca="false">SUM(O52:O56)</f>
        <v>0</v>
      </c>
      <c r="P57" s="11" t="n">
        <f aca="false">SUM(P52:P56)</f>
        <v>0</v>
      </c>
      <c r="Q57" s="11" t="n">
        <f aca="false">SUM(Q52:Q56)</f>
        <v>0</v>
      </c>
      <c r="R57" s="11" t="n">
        <f aca="false">SUM(R52:R56)</f>
        <v>13920</v>
      </c>
    </row>
    <row r="60" customFormat="false" ht="15" hidden="false" customHeight="false" outlineLevel="0" collapsed="false">
      <c r="A60" s="8" t="s">
        <v>42</v>
      </c>
      <c r="B60" s="8" t="s">
        <v>24</v>
      </c>
      <c r="C60" s="8" t="s">
        <v>100</v>
      </c>
      <c r="D60" s="8" t="s">
        <v>44</v>
      </c>
      <c r="E60" s="9" t="s">
        <v>45</v>
      </c>
      <c r="F60" s="9" t="s">
        <v>46</v>
      </c>
      <c r="G60" s="9" t="s">
        <v>47</v>
      </c>
      <c r="H60" s="9" t="s">
        <v>48</v>
      </c>
      <c r="I60" s="9" t="s">
        <v>49</v>
      </c>
      <c r="J60" s="9" t="s">
        <v>50</v>
      </c>
      <c r="K60" s="9" t="s">
        <v>51</v>
      </c>
      <c r="L60" s="9" t="s">
        <v>38</v>
      </c>
      <c r="M60" s="9" t="s">
        <v>52</v>
      </c>
      <c r="N60" s="9" t="s">
        <v>53</v>
      </c>
      <c r="O60" s="9" t="s">
        <v>54</v>
      </c>
      <c r="P60" s="9" t="s">
        <v>55</v>
      </c>
      <c r="Q60" s="8" t="s">
        <v>56</v>
      </c>
      <c r="R60" s="8" t="s">
        <v>57</v>
      </c>
    </row>
    <row r="61" customFormat="false" ht="15" hidden="false" customHeight="false" outlineLevel="0" collapsed="false">
      <c r="A61" s="2" t="n">
        <v>1</v>
      </c>
      <c r="B61" s="2" t="s">
        <v>100</v>
      </c>
      <c r="C61" s="2" t="s">
        <v>101</v>
      </c>
      <c r="D61" s="12" t="n">
        <v>2940</v>
      </c>
      <c r="E61" s="5" t="n">
        <f aca="false">SUMIFS(Transactions!$E:$E,Transactions!$G:$G,$B61,Transactions!$H:$H,$C61,Transactions!$J:$J,E$60,Transactions!$K:$K,$B$1)</f>
        <v>0</v>
      </c>
      <c r="F61" s="5" t="n">
        <f aca="false">SUMIFS(Transactions!$E:$E,Transactions!$G:$G,$B61,Transactions!$H:$H,$C61,Transactions!$J:$J,F$60,Transactions!$K:$K,$B$1)</f>
        <v>0</v>
      </c>
      <c r="G61" s="5" t="n">
        <f aca="false">SUMIFS(Transactions!$E:$E,Transactions!$G:$G,$B61,Transactions!$H:$H,$C61,Transactions!$J:$J,G$60,Transactions!$K:$K,$B$1)</f>
        <v>0</v>
      </c>
      <c r="H61" s="5" t="n">
        <f aca="false">SUMIFS(Transactions!$E:$E,Transactions!$G:$G,$B61,Transactions!$H:$H,$C61,Transactions!$J:$J,H$60,Transactions!$K:$K,$B$1)</f>
        <v>0</v>
      </c>
      <c r="I61" s="5" t="n">
        <f aca="false">SUMIFS(Transactions!$E:$E,Transactions!$G:$G,$B61,Transactions!$H:$H,$C61,Transactions!$J:$J,I$60,Transactions!$K:$K,$B$1)</f>
        <v>0</v>
      </c>
      <c r="J61" s="5" t="n">
        <f aca="false">SUMIFS(Transactions!$E:$E,Transactions!$G:$G,$B61,Transactions!$H:$H,$C61,Transactions!$J:$J,J$60,Transactions!$K:$K,$B$1)</f>
        <v>0</v>
      </c>
      <c r="K61" s="5" t="n">
        <f aca="false">SUMIFS(Transactions!$E:$E,Transactions!$G:$G,$B61,Transactions!$H:$H,$C61,Transactions!$J:$J,K$60,Transactions!$K:$K,$B$1)</f>
        <v>0</v>
      </c>
      <c r="L61" s="5" t="n">
        <f aca="false">SUMIFS(Transactions!$E:$E,Transactions!$G:$G,$B61,Transactions!$H:$H,$C61,Transactions!$J:$J,L$60,Transactions!$K:$K,$B$1)</f>
        <v>0</v>
      </c>
      <c r="M61" s="5" t="n">
        <f aca="false">SUMIFS(Transactions!$E:$E,Transactions!$G:$G,$B61,Transactions!$H:$H,$C61,Transactions!$J:$J,M$60,Transactions!$K:$K,$B$1)</f>
        <v>0</v>
      </c>
      <c r="N61" s="5" t="n">
        <f aca="false">SUMIFS(Transactions!$E:$E,Transactions!$G:$G,$B61,Transactions!$H:$H,$C61,Transactions!$J:$J,N$60,Transactions!$K:$K,$B$1)</f>
        <v>0</v>
      </c>
      <c r="O61" s="5" t="n">
        <f aca="false">SUMIFS(Transactions!$E:$E,Transactions!$G:$G,$B61,Transactions!$H:$H,$C61,Transactions!$J:$J,O$60,Transactions!$K:$K,$B$1)</f>
        <v>0</v>
      </c>
      <c r="P61" s="5" t="n">
        <f aca="false">SUMIFS(Transactions!$E:$E,Transactions!$G:$G,$B61,Transactions!$H:$H,$C61,Transactions!$J:$J,P$60,Transactions!$K:$K,$B$1)</f>
        <v>0</v>
      </c>
      <c r="Q61" s="5" t="n">
        <f aca="false">SUM(E61:P61)</f>
        <v>0</v>
      </c>
      <c r="R61" s="5" t="n">
        <f aca="false">D61*12</f>
        <v>35280</v>
      </c>
    </row>
    <row r="62" customFormat="false" ht="15" hidden="false" customHeight="false" outlineLevel="0" collapsed="false">
      <c r="A62" s="2" t="n">
        <v>2</v>
      </c>
      <c r="B62" s="2" t="s">
        <v>100</v>
      </c>
      <c r="C62" s="2" t="s">
        <v>102</v>
      </c>
      <c r="D62" s="12" t="n">
        <v>920</v>
      </c>
      <c r="E62" s="5" t="n">
        <f aca="false">SUMIFS(Transactions!$E:$E,Transactions!$G:$G,$B62,Transactions!$H:$H,$C62,Transactions!$J:$J,E$60,Transactions!$K:$K,$B$1)</f>
        <v>0</v>
      </c>
      <c r="F62" s="5" t="n">
        <f aca="false">SUMIFS(Transactions!$E:$E,Transactions!$G:$G,$B62,Transactions!$H:$H,$C62,Transactions!$J:$J,F$60,Transactions!$K:$K,$B$1)</f>
        <v>0</v>
      </c>
      <c r="G62" s="5" t="n">
        <f aca="false">SUMIFS(Transactions!$E:$E,Transactions!$G:$G,$B62,Transactions!$H:$H,$C62,Transactions!$J:$J,G$60,Transactions!$K:$K,$B$1)</f>
        <v>0</v>
      </c>
      <c r="H62" s="5" t="n">
        <f aca="false">SUMIFS(Transactions!$E:$E,Transactions!$G:$G,$B62,Transactions!$H:$H,$C62,Transactions!$J:$J,H$60,Transactions!$K:$K,$B$1)</f>
        <v>0</v>
      </c>
      <c r="I62" s="5" t="n">
        <f aca="false">SUMIFS(Transactions!$E:$E,Transactions!$G:$G,$B62,Transactions!$H:$H,$C62,Transactions!$J:$J,I$60,Transactions!$K:$K,$B$1)</f>
        <v>0</v>
      </c>
      <c r="J62" s="5" t="n">
        <f aca="false">SUMIFS(Transactions!$E:$E,Transactions!$G:$G,$B62,Transactions!$H:$H,$C62,Transactions!$J:$J,J$60,Transactions!$K:$K,$B$1)</f>
        <v>0</v>
      </c>
      <c r="K62" s="5" t="n">
        <f aca="false">SUMIFS(Transactions!$E:$E,Transactions!$G:$G,$B62,Transactions!$H:$H,$C62,Transactions!$J:$J,K$60,Transactions!$K:$K,$B$1)</f>
        <v>0</v>
      </c>
      <c r="L62" s="5" t="n">
        <f aca="false">SUMIFS(Transactions!$E:$E,Transactions!$G:$G,$B62,Transactions!$H:$H,$C62,Transactions!$J:$J,L$60,Transactions!$K:$K,$B$1)</f>
        <v>0</v>
      </c>
      <c r="M62" s="5" t="n">
        <f aca="false">SUMIFS(Transactions!$E:$E,Transactions!$G:$G,$B62,Transactions!$H:$H,$C62,Transactions!$J:$J,M$60,Transactions!$K:$K,$B$1)</f>
        <v>0</v>
      </c>
      <c r="N62" s="5" t="n">
        <f aca="false">SUMIFS(Transactions!$E:$E,Transactions!$G:$G,$B62,Transactions!$H:$H,$C62,Transactions!$J:$J,N$60,Transactions!$K:$K,$B$1)</f>
        <v>0</v>
      </c>
      <c r="O62" s="5" t="n">
        <f aca="false">SUMIFS(Transactions!$E:$E,Transactions!$G:$G,$B62,Transactions!$H:$H,$C62,Transactions!$J:$J,O$60,Transactions!$K:$K,$B$1)</f>
        <v>0</v>
      </c>
      <c r="P62" s="5" t="n">
        <f aca="false">SUMIFS(Transactions!$E:$E,Transactions!$G:$G,$B62,Transactions!$H:$H,$C62,Transactions!$J:$J,P$60,Transactions!$K:$K,$B$1)</f>
        <v>0</v>
      </c>
      <c r="Q62" s="5" t="n">
        <f aca="false">SUM(E62:P62)</f>
        <v>0</v>
      </c>
      <c r="R62" s="5" t="n">
        <f aca="false">D62*12</f>
        <v>11040</v>
      </c>
    </row>
    <row r="63" customFormat="false" ht="15" hidden="false" customHeight="false" outlineLevel="0" collapsed="false">
      <c r="A63" s="2" t="n">
        <v>3</v>
      </c>
      <c r="B63" s="2" t="s">
        <v>100</v>
      </c>
      <c r="C63" s="2" t="s">
        <v>103</v>
      </c>
      <c r="D63" s="12" t="n">
        <v>340</v>
      </c>
      <c r="E63" s="5" t="n">
        <f aca="false">SUMIFS(Transactions!$E:$E,Transactions!$G:$G,$B63,Transactions!$H:$H,$C63,Transactions!$J:$J,E$60,Transactions!$K:$K,$B$1)</f>
        <v>0</v>
      </c>
      <c r="F63" s="5" t="n">
        <f aca="false">SUMIFS(Transactions!$E:$E,Transactions!$G:$G,$B63,Transactions!$H:$H,$C63,Transactions!$J:$J,F$60,Transactions!$K:$K,$B$1)</f>
        <v>0</v>
      </c>
      <c r="G63" s="5" t="n">
        <f aca="false">SUMIFS(Transactions!$E:$E,Transactions!$G:$G,$B63,Transactions!$H:$H,$C63,Transactions!$J:$J,G$60,Transactions!$K:$K,$B$1)</f>
        <v>0</v>
      </c>
      <c r="H63" s="5" t="n">
        <f aca="false">SUMIFS(Transactions!$E:$E,Transactions!$G:$G,$B63,Transactions!$H:$H,$C63,Transactions!$J:$J,H$60,Transactions!$K:$K,$B$1)</f>
        <v>0</v>
      </c>
      <c r="I63" s="5" t="n">
        <f aca="false">SUMIFS(Transactions!$E:$E,Transactions!$G:$G,$B63,Transactions!$H:$H,$C63,Transactions!$J:$J,I$60,Transactions!$K:$K,$B$1)</f>
        <v>0</v>
      </c>
      <c r="J63" s="5" t="n">
        <f aca="false">SUMIFS(Transactions!$E:$E,Transactions!$G:$G,$B63,Transactions!$H:$H,$C63,Transactions!$J:$J,J$60,Transactions!$K:$K,$B$1)</f>
        <v>0</v>
      </c>
      <c r="K63" s="5" t="n">
        <f aca="false">SUMIFS(Transactions!$E:$E,Transactions!$G:$G,$B63,Transactions!$H:$H,$C63,Transactions!$J:$J,K$60,Transactions!$K:$K,$B$1)</f>
        <v>0</v>
      </c>
      <c r="L63" s="5" t="n">
        <f aca="false">SUMIFS(Transactions!$E:$E,Transactions!$G:$G,$B63,Transactions!$H:$H,$C63,Transactions!$J:$J,L$60,Transactions!$K:$K,$B$1)</f>
        <v>0</v>
      </c>
      <c r="M63" s="5" t="n">
        <f aca="false">SUMIFS(Transactions!$E:$E,Transactions!$G:$G,$B63,Transactions!$H:$H,$C63,Transactions!$J:$J,M$60,Transactions!$K:$K,$B$1)</f>
        <v>0</v>
      </c>
      <c r="N63" s="5" t="n">
        <f aca="false">SUMIFS(Transactions!$E:$E,Transactions!$G:$G,$B63,Transactions!$H:$H,$C63,Transactions!$J:$J,N$60,Transactions!$K:$K,$B$1)</f>
        <v>0</v>
      </c>
      <c r="O63" s="5" t="n">
        <f aca="false">SUMIFS(Transactions!$E:$E,Transactions!$G:$G,$B63,Transactions!$H:$H,$C63,Transactions!$J:$J,O$60,Transactions!$K:$K,$B$1)</f>
        <v>0</v>
      </c>
      <c r="P63" s="5" t="n">
        <f aca="false">SUMIFS(Transactions!$E:$E,Transactions!$G:$G,$B63,Transactions!$H:$H,$C63,Transactions!$J:$J,P$60,Transactions!$K:$K,$B$1)</f>
        <v>0</v>
      </c>
      <c r="Q63" s="5" t="n">
        <f aca="false">SUM(E63:P63)</f>
        <v>0</v>
      </c>
      <c r="R63" s="5" t="n">
        <f aca="false">D63*12</f>
        <v>4080</v>
      </c>
    </row>
    <row r="64" customFormat="false" ht="15" hidden="false" customHeight="false" outlineLevel="0" collapsed="false">
      <c r="A64" s="2" t="n">
        <v>4</v>
      </c>
      <c r="B64" s="2" t="s">
        <v>100</v>
      </c>
      <c r="C64" s="2" t="s">
        <v>104</v>
      </c>
      <c r="D64" s="12" t="n">
        <v>0</v>
      </c>
      <c r="E64" s="5" t="n">
        <f aca="false">SUMIFS(Transactions!$E:$E,Transactions!$G:$G,$B64,Transactions!$H:$H,$C64,Transactions!$J:$J,E$60,Transactions!$K:$K,$B$1)</f>
        <v>0</v>
      </c>
      <c r="F64" s="5" t="n">
        <f aca="false">SUMIFS(Transactions!$E:$E,Transactions!$G:$G,$B64,Transactions!$H:$H,$C64,Transactions!$J:$J,F$60,Transactions!$K:$K,$B$1)</f>
        <v>0</v>
      </c>
      <c r="G64" s="5" t="n">
        <f aca="false">SUMIFS(Transactions!$E:$E,Transactions!$G:$G,$B64,Transactions!$H:$H,$C64,Transactions!$J:$J,G$60,Transactions!$K:$K,$B$1)</f>
        <v>0</v>
      </c>
      <c r="H64" s="5" t="n">
        <f aca="false">SUMIFS(Transactions!$E:$E,Transactions!$G:$G,$B64,Transactions!$H:$H,$C64,Transactions!$J:$J,H$60,Transactions!$K:$K,$B$1)</f>
        <v>0</v>
      </c>
      <c r="I64" s="5" t="n">
        <f aca="false">SUMIFS(Transactions!$E:$E,Transactions!$G:$G,$B64,Transactions!$H:$H,$C64,Transactions!$J:$J,I$60,Transactions!$K:$K,$B$1)</f>
        <v>0</v>
      </c>
      <c r="J64" s="5" t="n">
        <f aca="false">SUMIFS(Transactions!$E:$E,Transactions!$G:$G,$B64,Transactions!$H:$H,$C64,Transactions!$J:$J,J$60,Transactions!$K:$K,$B$1)</f>
        <v>0</v>
      </c>
      <c r="K64" s="5" t="n">
        <f aca="false">SUMIFS(Transactions!$E:$E,Transactions!$G:$G,$B64,Transactions!$H:$H,$C64,Transactions!$J:$J,K$60,Transactions!$K:$K,$B$1)</f>
        <v>0</v>
      </c>
      <c r="L64" s="5" t="n">
        <f aca="false">SUMIFS(Transactions!$E:$E,Transactions!$G:$G,$B64,Transactions!$H:$H,$C64,Transactions!$J:$J,L$60,Transactions!$K:$K,$B$1)</f>
        <v>0</v>
      </c>
      <c r="M64" s="5" t="n">
        <f aca="false">SUMIFS(Transactions!$E:$E,Transactions!$G:$G,$B64,Transactions!$H:$H,$C64,Transactions!$J:$J,M$60,Transactions!$K:$K,$B$1)</f>
        <v>0</v>
      </c>
      <c r="N64" s="5" t="n">
        <f aca="false">SUMIFS(Transactions!$E:$E,Transactions!$G:$G,$B64,Transactions!$H:$H,$C64,Transactions!$J:$J,N$60,Transactions!$K:$K,$B$1)</f>
        <v>0</v>
      </c>
      <c r="O64" s="5" t="n">
        <f aca="false">SUMIFS(Transactions!$E:$E,Transactions!$G:$G,$B64,Transactions!$H:$H,$C64,Transactions!$J:$J,O$60,Transactions!$K:$K,$B$1)</f>
        <v>0</v>
      </c>
      <c r="P64" s="5" t="n">
        <f aca="false">SUMIFS(Transactions!$E:$E,Transactions!$G:$G,$B64,Transactions!$H:$H,$C64,Transactions!$J:$J,P$60,Transactions!$K:$K,$B$1)</f>
        <v>0</v>
      </c>
      <c r="Q64" s="5" t="n">
        <f aca="false">SUM(E64:P64)</f>
        <v>0</v>
      </c>
      <c r="R64" s="5" t="n">
        <f aca="false">D64*12</f>
        <v>0</v>
      </c>
    </row>
    <row r="65" customFormat="false" ht="15" hidden="false" customHeight="false" outlineLevel="0" collapsed="false">
      <c r="A65" s="13"/>
      <c r="B65" s="13"/>
      <c r="C65" s="10" t="s">
        <v>63</v>
      </c>
      <c r="D65" s="11" t="n">
        <f aca="false">SUM(D61:D64)</f>
        <v>4200</v>
      </c>
      <c r="E65" s="11" t="n">
        <f aca="false">SUM(E61:E64)</f>
        <v>0</v>
      </c>
      <c r="F65" s="11" t="n">
        <f aca="false">SUM(F61:F64)</f>
        <v>0</v>
      </c>
      <c r="G65" s="11" t="n">
        <f aca="false">SUM(G61:G64)</f>
        <v>0</v>
      </c>
      <c r="H65" s="11" t="n">
        <f aca="false">SUM(H61:H64)</f>
        <v>0</v>
      </c>
      <c r="I65" s="11" t="n">
        <f aca="false">SUM(I61:I64)</f>
        <v>0</v>
      </c>
      <c r="J65" s="11" t="n">
        <f aca="false">SUM(J61:J64)</f>
        <v>0</v>
      </c>
      <c r="K65" s="11" t="n">
        <f aca="false">SUM(K61:K64)</f>
        <v>0</v>
      </c>
      <c r="L65" s="11" t="n">
        <f aca="false">SUM(L61:L64)</f>
        <v>0</v>
      </c>
      <c r="M65" s="11" t="n">
        <f aca="false">SUM(M61:M64)</f>
        <v>0</v>
      </c>
      <c r="N65" s="11" t="n">
        <f aca="false">SUM(N61:N64)</f>
        <v>0</v>
      </c>
      <c r="O65" s="11" t="n">
        <f aca="false">SUM(O61:O64)</f>
        <v>0</v>
      </c>
      <c r="P65" s="11" t="n">
        <f aca="false">SUM(P61:P64)</f>
        <v>0</v>
      </c>
      <c r="Q65" s="11" t="n">
        <f aca="false">SUM(Q61:Q64)</f>
        <v>0</v>
      </c>
      <c r="R65" s="11" t="n">
        <f aca="false">SUM(R61:R64)</f>
        <v>50400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4</v>
      </c>
    </row>
    <row r="3" customFormat="false" ht="15" hidden="false" customHeight="false" outlineLevel="0" collapsed="false">
      <c r="A3" s="3" t="s">
        <v>27</v>
      </c>
      <c r="B3" s="14" t="s">
        <v>38</v>
      </c>
      <c r="C3" s="3" t="s">
        <v>28</v>
      </c>
      <c r="D3" s="7" t="n">
        <v>2026</v>
      </c>
      <c r="E3" s="6" t="s">
        <v>105</v>
      </c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106</v>
      </c>
      <c r="D5" s="9" t="s">
        <v>107</v>
      </c>
      <c r="E5" s="9" t="s">
        <v>108</v>
      </c>
      <c r="F5" s="9" t="s">
        <v>109</v>
      </c>
      <c r="G5" s="9" t="s">
        <v>110</v>
      </c>
    </row>
    <row r="6" customFormat="false" ht="15" hidden="false" customHeight="false" outlineLevel="0" collapsed="false">
      <c r="A6" s="2" t="s">
        <v>35</v>
      </c>
      <c r="B6" s="2" t="s">
        <v>65</v>
      </c>
      <c r="C6" s="5" t="n">
        <f aca="false">SUMIFS(Monthly!$D:$D,Monthly!$B:$B,$A6,Monthly!$C:$C,$B6)</f>
        <v>3465</v>
      </c>
      <c r="D6" s="5" t="n">
        <f aca="false">SUMIFS(Transactions!$E:$E,Transactions!$G:$G,$A6,Transactions!$H:$H,$B6,Transactions!$J:$J,$B$3,Transactions!$K:$K,$D$3)</f>
        <v>0</v>
      </c>
      <c r="E6" s="5" t="n">
        <f aca="false">C6-D6</f>
        <v>3465</v>
      </c>
      <c r="F6" s="15" t="n">
        <f aca="false">IFERROR(D6/C6,0)</f>
        <v>0</v>
      </c>
      <c r="G6" s="16" t="str">
        <f aca="false">IF(C6=0,IF(D6&gt;0,"No budget","—"),IF(D6&gt;C6,"OVER",IF(D6/C6&gt;=0.9,"Close","OK")))</f>
        <v>OK</v>
      </c>
    </row>
    <row r="7" customFormat="false" ht="15" hidden="false" customHeight="false" outlineLevel="0" collapsed="false">
      <c r="A7" s="2" t="s">
        <v>35</v>
      </c>
      <c r="B7" s="2" t="s">
        <v>66</v>
      </c>
      <c r="C7" s="5" t="n">
        <f aca="false">SUMIFS(Monthly!$D:$D,Monthly!$B:$B,$A7,Monthly!$C:$C,$B7)</f>
        <v>210</v>
      </c>
      <c r="D7" s="5" t="n">
        <f aca="false">SUMIFS(Transactions!$E:$E,Transactions!$G:$G,$A7,Transactions!$H:$H,$B7,Transactions!$J:$J,$B$3,Transactions!$K:$K,$D$3)</f>
        <v>0</v>
      </c>
      <c r="E7" s="5" t="n">
        <f aca="false">C7-D7</f>
        <v>210</v>
      </c>
      <c r="F7" s="15" t="n">
        <f aca="false">IFERROR(D7/C7,0)</f>
        <v>0</v>
      </c>
      <c r="G7" s="16" t="str">
        <f aca="false">IF(C7=0,IF(D7&gt;0,"No budget","—"),IF(D7&gt;C7,"OVER",IF(D7/C7&gt;=0.9,"Close","OK")))</f>
        <v>OK</v>
      </c>
    </row>
    <row r="8" customFormat="false" ht="15" hidden="false" customHeight="false" outlineLevel="0" collapsed="false">
      <c r="A8" s="2" t="s">
        <v>35</v>
      </c>
      <c r="B8" s="2" t="s">
        <v>67</v>
      </c>
      <c r="C8" s="5" t="n">
        <f aca="false">SUMIFS(Monthly!$D:$D,Monthly!$B:$B,$A8,Monthly!$C:$C,$B8)</f>
        <v>500</v>
      </c>
      <c r="D8" s="5" t="n">
        <f aca="false">SUMIFS(Transactions!$E:$E,Transactions!$G:$G,$A8,Transactions!$H:$H,$B8,Transactions!$J:$J,$B$3,Transactions!$K:$K,$D$3)</f>
        <v>0</v>
      </c>
      <c r="E8" s="5" t="n">
        <f aca="false">C8-D8</f>
        <v>500</v>
      </c>
      <c r="F8" s="15" t="n">
        <f aca="false">IFERROR(D8/C8,0)</f>
        <v>0</v>
      </c>
      <c r="G8" s="16" t="str">
        <f aca="false">IF(C8=0,IF(D8&gt;0,"No budget","—"),IF(D8&gt;C8,"OVER",IF(D8/C8&gt;=0.9,"Close","OK")))</f>
        <v>OK</v>
      </c>
    </row>
    <row r="9" customFormat="false" ht="15" hidden="false" customHeight="false" outlineLevel="0" collapsed="false">
      <c r="A9" s="2" t="s">
        <v>35</v>
      </c>
      <c r="B9" s="2" t="s">
        <v>68</v>
      </c>
      <c r="C9" s="5" t="n">
        <f aca="false">SUMIFS(Monthly!$D:$D,Monthly!$B:$B,$A9,Monthly!$C:$C,$B9)</f>
        <v>30</v>
      </c>
      <c r="D9" s="5" t="n">
        <f aca="false">SUMIFS(Transactions!$E:$E,Transactions!$G:$G,$A9,Transactions!$H:$H,$B9,Transactions!$J:$J,$B$3,Transactions!$K:$K,$D$3)</f>
        <v>0</v>
      </c>
      <c r="E9" s="5" t="n">
        <f aca="false">C9-D9</f>
        <v>30</v>
      </c>
      <c r="F9" s="15" t="n">
        <f aca="false">IFERROR(D9/C9,0)</f>
        <v>0</v>
      </c>
      <c r="G9" s="16" t="str">
        <f aca="false">IF(C9=0,IF(D9&gt;0,"No budget","—"),IF(D9&gt;C9,"OVER",IF(D9/C9&gt;=0.9,"Close","OK")))</f>
        <v>OK</v>
      </c>
    </row>
    <row r="10" customFormat="false" ht="15" hidden="false" customHeight="false" outlineLevel="0" collapsed="false">
      <c r="A10" s="2" t="s">
        <v>35</v>
      </c>
      <c r="B10" s="2" t="s">
        <v>69</v>
      </c>
      <c r="C10" s="5" t="n">
        <f aca="false">SUMIFS(Monthly!$D:$D,Monthly!$B:$B,$A10,Monthly!$C:$C,$B10)</f>
        <v>326.76</v>
      </c>
      <c r="D10" s="5" t="n">
        <f aca="false">SUMIFS(Transactions!$E:$E,Transactions!$G:$G,$A10,Transactions!$H:$H,$B10,Transactions!$J:$J,$B$3,Transactions!$K:$K,$D$3)</f>
        <v>0</v>
      </c>
      <c r="E10" s="5" t="n">
        <f aca="false">C10-D10</f>
        <v>326.76</v>
      </c>
      <c r="F10" s="15" t="n">
        <f aca="false">IFERROR(D10/C10,0)</f>
        <v>0</v>
      </c>
      <c r="G10" s="16" t="str">
        <f aca="false">IF(C10=0,IF(D10&gt;0,"No budget","—"),IF(D10&gt;C10,"OVER",IF(D10/C10&gt;=0.9,"Close","OK")))</f>
        <v>OK</v>
      </c>
    </row>
    <row r="11" customFormat="false" ht="15" hidden="false" customHeight="false" outlineLevel="0" collapsed="false">
      <c r="A11" s="2" t="s">
        <v>35</v>
      </c>
      <c r="B11" s="2" t="s">
        <v>70</v>
      </c>
      <c r="C11" s="5" t="n">
        <f aca="false">SUMIFS(Monthly!$D:$D,Monthly!$B:$B,$A11,Monthly!$C:$C,$B11)</f>
        <v>145</v>
      </c>
      <c r="D11" s="5" t="n">
        <f aca="false">SUMIFS(Transactions!$E:$E,Transactions!$G:$G,$A11,Transactions!$H:$H,$B11,Transactions!$J:$J,$B$3,Transactions!$K:$K,$D$3)</f>
        <v>0</v>
      </c>
      <c r="E11" s="5" t="n">
        <f aca="false">C11-D11</f>
        <v>145</v>
      </c>
      <c r="F11" s="15" t="n">
        <f aca="false">IFERROR(D11/C11,0)</f>
        <v>0</v>
      </c>
      <c r="G11" s="16" t="str">
        <f aca="false">IF(C11=0,IF(D11&gt;0,"No budget","—"),IF(D11&gt;C11,"OVER",IF(D11/C11&gt;=0.9,"Close","OK")))</f>
        <v>OK</v>
      </c>
    </row>
    <row r="12" customFormat="false" ht="15" hidden="false" customHeight="false" outlineLevel="0" collapsed="false">
      <c r="A12" s="2" t="s">
        <v>35</v>
      </c>
      <c r="B12" s="2" t="s">
        <v>71</v>
      </c>
      <c r="C12" s="5" t="n">
        <f aca="false">SUMIFS(Monthly!$D:$D,Monthly!$B:$B,$A12,Monthly!$C:$C,$B12)</f>
        <v>1000</v>
      </c>
      <c r="D12" s="5" t="n">
        <f aca="false">SUMIFS(Transactions!$E:$E,Transactions!$G:$G,$A12,Transactions!$H:$H,$B12,Transactions!$J:$J,$B$3,Transactions!$K:$K,$D$3)</f>
        <v>0</v>
      </c>
      <c r="E12" s="5" t="n">
        <f aca="false">C12-D12</f>
        <v>1000</v>
      </c>
      <c r="F12" s="15" t="n">
        <f aca="false">IFERROR(D12/C12,0)</f>
        <v>0</v>
      </c>
      <c r="G12" s="16" t="str">
        <f aca="false">IF(C12=0,IF(D12&gt;0,"No budget","—"),IF(D12&gt;C12,"OVER",IF(D12/C12&gt;=0.9,"Close","OK")))</f>
        <v>OK</v>
      </c>
    </row>
    <row r="13" customFormat="false" ht="15" hidden="false" customHeight="false" outlineLevel="0" collapsed="false">
      <c r="A13" s="2" t="s">
        <v>35</v>
      </c>
      <c r="B13" s="2" t="s">
        <v>72</v>
      </c>
      <c r="C13" s="5" t="n">
        <f aca="false">SUMIFS(Monthly!$D:$D,Monthly!$B:$B,$A13,Monthly!$C:$C,$B13)</f>
        <v>35</v>
      </c>
      <c r="D13" s="5" t="n">
        <f aca="false">SUMIFS(Transactions!$E:$E,Transactions!$G:$G,$A13,Transactions!$H:$H,$B13,Transactions!$J:$J,$B$3,Transactions!$K:$K,$D$3)</f>
        <v>0</v>
      </c>
      <c r="E13" s="5" t="n">
        <f aca="false">C13-D13</f>
        <v>35</v>
      </c>
      <c r="F13" s="15" t="n">
        <f aca="false">IFERROR(D13/C13,0)</f>
        <v>0</v>
      </c>
      <c r="G13" s="16" t="str">
        <f aca="false">IF(C13=0,IF(D13&gt;0,"No budget","—"),IF(D13&gt;C13,"OVER",IF(D13/C13&gt;=0.9,"Close","OK")))</f>
        <v>OK</v>
      </c>
    </row>
    <row r="14" customFormat="false" ht="15" hidden="false" customHeight="false" outlineLevel="0" collapsed="false">
      <c r="A14" s="2" t="s">
        <v>35</v>
      </c>
      <c r="B14" s="2" t="s">
        <v>73</v>
      </c>
      <c r="C14" s="5" t="n">
        <f aca="false">SUMIFS(Monthly!$D:$D,Monthly!$B:$B,$A14,Monthly!$C:$C,$B14)</f>
        <v>50</v>
      </c>
      <c r="D14" s="5" t="n">
        <f aca="false">SUMIFS(Transactions!$E:$E,Transactions!$G:$G,$A14,Transactions!$H:$H,$B14,Transactions!$J:$J,$B$3,Transactions!$K:$K,$D$3)</f>
        <v>0</v>
      </c>
      <c r="E14" s="5" t="n">
        <f aca="false">C14-D14</f>
        <v>50</v>
      </c>
      <c r="F14" s="15" t="n">
        <f aca="false">IFERROR(D14/C14,0)</f>
        <v>0</v>
      </c>
      <c r="G14" s="16" t="str">
        <f aca="false">IF(C14=0,IF(D14&gt;0,"No budget","—"),IF(D14&gt;C14,"OVER",IF(D14/C14&gt;=0.9,"Close","OK")))</f>
        <v>OK</v>
      </c>
    </row>
    <row r="15" customFormat="false" ht="15" hidden="false" customHeight="false" outlineLevel="0" collapsed="false">
      <c r="A15" s="2" t="s">
        <v>35</v>
      </c>
      <c r="B15" s="2" t="s">
        <v>36</v>
      </c>
      <c r="C15" s="5" t="n">
        <f aca="false">SUMIFS(Monthly!$D:$D,Monthly!$B:$B,$A15,Monthly!$C:$C,$B15)</f>
        <v>600</v>
      </c>
      <c r="D15" s="5" t="n">
        <f aca="false">SUMIFS(Transactions!$E:$E,Transactions!$G:$G,$A15,Transactions!$H:$H,$B15,Transactions!$J:$J,$B$3,Transactions!$K:$K,$D$3)</f>
        <v>245.5</v>
      </c>
      <c r="E15" s="5" t="n">
        <f aca="false">C15-D15</f>
        <v>354.5</v>
      </c>
      <c r="F15" s="15" t="n">
        <f aca="false">IFERROR(D15/C15,0)</f>
        <v>0.409166666666667</v>
      </c>
      <c r="G15" s="16" t="str">
        <f aca="false">IF(C15=0,IF(D15&gt;0,"No budget","—"),IF(D15&gt;C15,"OVER",IF(D15/C15&gt;=0.9,"Close","OK")))</f>
        <v>OK</v>
      </c>
    </row>
    <row r="16" customFormat="false" ht="15" hidden="false" customHeight="false" outlineLevel="0" collapsed="false">
      <c r="A16" s="2" t="s">
        <v>35</v>
      </c>
      <c r="B16" s="2" t="s">
        <v>74</v>
      </c>
      <c r="C16" s="5" t="n">
        <f aca="false">SUMIFS(Monthly!$D:$D,Monthly!$B:$B,$A16,Monthly!$C:$C,$B16)</f>
        <v>210</v>
      </c>
      <c r="D16" s="5" t="n">
        <f aca="false">SUMIFS(Transactions!$E:$E,Transactions!$G:$G,$A16,Transactions!$H:$H,$B16,Transactions!$J:$J,$B$3,Transactions!$K:$K,$D$3)</f>
        <v>0</v>
      </c>
      <c r="E16" s="5" t="n">
        <f aca="false">C16-D16</f>
        <v>210</v>
      </c>
      <c r="F16" s="15" t="n">
        <f aca="false">IFERROR(D16/C16,0)</f>
        <v>0</v>
      </c>
      <c r="G16" s="16" t="str">
        <f aca="false">IF(C16=0,IF(D16&gt;0,"No budget","—"),IF(D16&gt;C16,"OVER",IF(D16/C16&gt;=0.9,"Close","OK")))</f>
        <v>OK</v>
      </c>
    </row>
    <row r="17" customFormat="false" ht="15" hidden="false" customHeight="false" outlineLevel="0" collapsed="false">
      <c r="A17" s="2" t="s">
        <v>35</v>
      </c>
      <c r="B17" s="2" t="s">
        <v>75</v>
      </c>
      <c r="C17" s="5" t="n">
        <f aca="false">SUMIFS(Monthly!$D:$D,Monthly!$B:$B,$A17,Monthly!$C:$C,$B17)</f>
        <v>1176</v>
      </c>
      <c r="D17" s="5" t="n">
        <f aca="false">SUMIFS(Transactions!$E:$E,Transactions!$G:$G,$A17,Transactions!$H:$H,$B17,Transactions!$J:$J,$B$3,Transactions!$K:$K,$D$3)</f>
        <v>0</v>
      </c>
      <c r="E17" s="5" t="n">
        <f aca="false">C17-D17</f>
        <v>1176</v>
      </c>
      <c r="F17" s="15" t="n">
        <f aca="false">IFERROR(D17/C17,0)</f>
        <v>0</v>
      </c>
      <c r="G17" s="16" t="str">
        <f aca="false">IF(C17=0,IF(D17&gt;0,"No budget","—"),IF(D17&gt;C17,"OVER",IF(D17/C17&gt;=0.9,"Close","OK")))</f>
        <v>OK</v>
      </c>
    </row>
    <row r="18" customFormat="false" ht="15" hidden="false" customHeight="false" outlineLevel="0" collapsed="false">
      <c r="A18" s="2" t="s">
        <v>35</v>
      </c>
      <c r="B18" s="2" t="s">
        <v>76</v>
      </c>
      <c r="C18" s="5" t="n">
        <f aca="false">SUMIFS(Monthly!$D:$D,Monthly!$B:$B,$A18,Monthly!$C:$C,$B18)</f>
        <v>0</v>
      </c>
      <c r="D18" s="5" t="n">
        <f aca="false">SUMIFS(Transactions!$E:$E,Transactions!$G:$G,$A18,Transactions!$H:$H,$B18,Transactions!$J:$J,$B$3,Transactions!$K:$K,$D$3)</f>
        <v>0</v>
      </c>
      <c r="E18" s="5" t="n">
        <f aca="false">C18-D18</f>
        <v>0</v>
      </c>
      <c r="F18" s="15" t="n">
        <f aca="false">IFERROR(D18/C18,0)</f>
        <v>0</v>
      </c>
      <c r="G18" s="16" t="str">
        <f aca="false">IF(C18=0,IF(D18&gt;0,"No budget","—"),IF(D18&gt;C18,"OVER",IF(D18/C18&gt;=0.9,"Close","OK")))</f>
        <v>—</v>
      </c>
    </row>
    <row r="19" customFormat="false" ht="15" hidden="false" customHeight="false" outlineLevel="0" collapsed="false">
      <c r="A19" s="2" t="s">
        <v>77</v>
      </c>
      <c r="B19" s="2" t="s">
        <v>78</v>
      </c>
      <c r="C19" s="5" t="n">
        <f aca="false">SUMIFS(Monthly!$D:$D,Monthly!$B:$B,$A19,Monthly!$C:$C,$B19)</f>
        <v>1500</v>
      </c>
      <c r="D19" s="5" t="n">
        <f aca="false">SUMIFS(Transactions!$E:$E,Transactions!$G:$G,$A19,Transactions!$H:$H,$B19,Transactions!$J:$J,$B$3,Transactions!$K:$K,$D$3)</f>
        <v>0</v>
      </c>
      <c r="E19" s="5" t="n">
        <f aca="false">C19-D19</f>
        <v>1500</v>
      </c>
      <c r="F19" s="15" t="n">
        <f aca="false">IFERROR(D19/C19,0)</f>
        <v>0</v>
      </c>
      <c r="G19" s="16" t="str">
        <f aca="false">IF(C19=0,IF(D19&gt;0,"No budget","—"),IF(D19&gt;C19,"OVER",IF(D19/C19&gt;=0.9,"Close","OK")))</f>
        <v>OK</v>
      </c>
    </row>
    <row r="20" customFormat="false" ht="15" hidden="false" customHeight="false" outlineLevel="0" collapsed="false">
      <c r="A20" s="2" t="s">
        <v>77</v>
      </c>
      <c r="B20" s="2" t="s">
        <v>79</v>
      </c>
      <c r="C20" s="5" t="n">
        <f aca="false">SUMIFS(Monthly!$D:$D,Monthly!$B:$B,$A20,Monthly!$C:$C,$B20)</f>
        <v>400</v>
      </c>
      <c r="D20" s="5" t="n">
        <f aca="false">SUMIFS(Transactions!$E:$E,Transactions!$G:$G,$A20,Transactions!$H:$H,$B20,Transactions!$J:$J,$B$3,Transactions!$K:$K,$D$3)</f>
        <v>0</v>
      </c>
      <c r="E20" s="5" t="n">
        <f aca="false">C20-D20</f>
        <v>400</v>
      </c>
      <c r="F20" s="15" t="n">
        <f aca="false">IFERROR(D20/C20,0)</f>
        <v>0</v>
      </c>
      <c r="G20" s="16" t="str">
        <f aca="false">IF(C20=0,IF(D20&gt;0,"No budget","—"),IF(D20&gt;C20,"OVER",IF(D20/C20&gt;=0.9,"Close","OK")))</f>
        <v>OK</v>
      </c>
    </row>
    <row r="21" customFormat="false" ht="15" hidden="false" customHeight="false" outlineLevel="0" collapsed="false">
      <c r="A21" s="2" t="s">
        <v>77</v>
      </c>
      <c r="B21" s="2" t="s">
        <v>80</v>
      </c>
      <c r="C21" s="5" t="n">
        <f aca="false">SUMIFS(Monthly!$D:$D,Monthly!$B:$B,$A21,Monthly!$C:$C,$B21)</f>
        <v>100</v>
      </c>
      <c r="D21" s="5" t="n">
        <f aca="false">SUMIFS(Transactions!$E:$E,Transactions!$G:$G,$A21,Transactions!$H:$H,$B21,Transactions!$J:$J,$B$3,Transactions!$K:$K,$D$3)</f>
        <v>0</v>
      </c>
      <c r="E21" s="5" t="n">
        <f aca="false">C21-D21</f>
        <v>100</v>
      </c>
      <c r="F21" s="15" t="n">
        <f aca="false">IFERROR(D21/C21,0)</f>
        <v>0</v>
      </c>
      <c r="G21" s="16" t="str">
        <f aca="false">IF(C21=0,IF(D21&gt;0,"No budget","—"),IF(D21&gt;C21,"OVER",IF(D21/C21&gt;=0.9,"Close","OK")))</f>
        <v>OK</v>
      </c>
    </row>
    <row r="22" customFormat="false" ht="15" hidden="false" customHeight="false" outlineLevel="0" collapsed="false">
      <c r="A22" s="2" t="s">
        <v>77</v>
      </c>
      <c r="B22" s="2" t="s">
        <v>81</v>
      </c>
      <c r="C22" s="5" t="n">
        <f aca="false">SUMIFS(Monthly!$D:$D,Monthly!$B:$B,$A22,Monthly!$C:$C,$B22)</f>
        <v>210</v>
      </c>
      <c r="D22" s="5" t="n">
        <f aca="false">SUMIFS(Transactions!$E:$E,Transactions!$G:$G,$A22,Transactions!$H:$H,$B22,Transactions!$J:$J,$B$3,Transactions!$K:$K,$D$3)</f>
        <v>0</v>
      </c>
      <c r="E22" s="5" t="n">
        <f aca="false">C22-D22</f>
        <v>210</v>
      </c>
      <c r="F22" s="15" t="n">
        <f aca="false">IFERROR(D22/C22,0)</f>
        <v>0</v>
      </c>
      <c r="G22" s="16" t="str">
        <f aca="false">IF(C22=0,IF(D22&gt;0,"No budget","—"),IF(D22&gt;C22,"OVER",IF(D22/C22&gt;=0.9,"Close","OK")))</f>
        <v>OK</v>
      </c>
    </row>
    <row r="23" customFormat="false" ht="15" hidden="false" customHeight="false" outlineLevel="0" collapsed="false">
      <c r="A23" s="2" t="s">
        <v>77</v>
      </c>
      <c r="B23" s="2" t="s">
        <v>82</v>
      </c>
      <c r="C23" s="5" t="n">
        <f aca="false">SUMIFS(Monthly!$D:$D,Monthly!$B:$B,$A23,Monthly!$C:$C,$B23)</f>
        <v>50</v>
      </c>
      <c r="D23" s="5" t="n">
        <f aca="false">SUMIFS(Transactions!$E:$E,Transactions!$G:$G,$A23,Transactions!$H:$H,$B23,Transactions!$J:$J,$B$3,Transactions!$K:$K,$D$3)</f>
        <v>0</v>
      </c>
      <c r="E23" s="5" t="n">
        <f aca="false">C23-D23</f>
        <v>50</v>
      </c>
      <c r="F23" s="15" t="n">
        <f aca="false">IFERROR(D23/C23,0)</f>
        <v>0</v>
      </c>
      <c r="G23" s="16" t="str">
        <f aca="false">IF(C23=0,IF(D23&gt;0,"No budget","—"),IF(D23&gt;C23,"OVER",IF(D23/C23&gt;=0.9,"Close","OK")))</f>
        <v>OK</v>
      </c>
    </row>
    <row r="24" customFormat="false" ht="15" hidden="false" customHeight="false" outlineLevel="0" collapsed="false">
      <c r="A24" s="2" t="s">
        <v>77</v>
      </c>
      <c r="B24" s="2" t="s">
        <v>83</v>
      </c>
      <c r="C24" s="5" t="n">
        <f aca="false">SUMIFS(Monthly!$D:$D,Monthly!$B:$B,$A24,Monthly!$C:$C,$B24)</f>
        <v>0</v>
      </c>
      <c r="D24" s="5" t="n">
        <f aca="false">SUMIFS(Transactions!$E:$E,Transactions!$G:$G,$A24,Transactions!$H:$H,$B24,Transactions!$J:$J,$B$3,Transactions!$K:$K,$D$3)</f>
        <v>0</v>
      </c>
      <c r="E24" s="5" t="n">
        <f aca="false">C24-D24</f>
        <v>0</v>
      </c>
      <c r="F24" s="15" t="n">
        <f aca="false">IFERROR(D24/C24,0)</f>
        <v>0</v>
      </c>
      <c r="G24" s="16" t="str">
        <f aca="false">IF(C24=0,IF(D24&gt;0,"No budget","—"),IF(D24&gt;C24,"OVER",IF(D24/C24&gt;=0.9,"Close","OK")))</f>
        <v>—</v>
      </c>
    </row>
    <row r="25" customFormat="false" ht="15" hidden="false" customHeight="false" outlineLevel="0" collapsed="false">
      <c r="A25" s="2" t="s">
        <v>77</v>
      </c>
      <c r="B25" s="2" t="s">
        <v>84</v>
      </c>
      <c r="C25" s="5" t="n">
        <f aca="false">SUMIFS(Monthly!$D:$D,Monthly!$B:$B,$A25,Monthly!$C:$C,$B25)</f>
        <v>50</v>
      </c>
      <c r="D25" s="5" t="n">
        <f aca="false">SUMIFS(Transactions!$E:$E,Transactions!$G:$G,$A25,Transactions!$H:$H,$B25,Transactions!$J:$J,$B$3,Transactions!$K:$K,$D$3)</f>
        <v>0</v>
      </c>
      <c r="E25" s="5" t="n">
        <f aca="false">C25-D25</f>
        <v>50</v>
      </c>
      <c r="F25" s="15" t="n">
        <f aca="false">IFERROR(D25/C25,0)</f>
        <v>0</v>
      </c>
      <c r="G25" s="16" t="str">
        <f aca="false">IF(C25=0,IF(D25&gt;0,"No budget","—"),IF(D25&gt;C25,"OVER",IF(D25/C25&gt;=0.9,"Close","OK")))</f>
        <v>OK</v>
      </c>
    </row>
    <row r="26" customFormat="false" ht="15" hidden="false" customHeight="false" outlineLevel="0" collapsed="false">
      <c r="A26" s="2" t="s">
        <v>77</v>
      </c>
      <c r="B26" s="2" t="s">
        <v>85</v>
      </c>
      <c r="C26" s="5" t="n">
        <f aca="false">SUMIFS(Monthly!$D:$D,Monthly!$B:$B,$A26,Monthly!$C:$C,$B26)</f>
        <v>0</v>
      </c>
      <c r="D26" s="5" t="n">
        <f aca="false">SUMIFS(Transactions!$E:$E,Transactions!$G:$G,$A26,Transactions!$H:$H,$B26,Transactions!$J:$J,$B$3,Transactions!$K:$K,$D$3)</f>
        <v>0</v>
      </c>
      <c r="E26" s="5" t="n">
        <f aca="false">C26-D26</f>
        <v>0</v>
      </c>
      <c r="F26" s="15" t="n">
        <f aca="false">IFERROR(D26/C26,0)</f>
        <v>0</v>
      </c>
      <c r="G26" s="16" t="str">
        <f aca="false">IF(C26=0,IF(D26&gt;0,"No budget","—"),IF(D26&gt;C26,"OVER",IF(D26/C26&gt;=0.9,"Close","OK")))</f>
        <v>—</v>
      </c>
    </row>
    <row r="27" customFormat="false" ht="15" hidden="false" customHeight="false" outlineLevel="0" collapsed="false">
      <c r="A27" s="2" t="s">
        <v>77</v>
      </c>
      <c r="B27" s="2" t="s">
        <v>86</v>
      </c>
      <c r="C27" s="5" t="n">
        <f aca="false">SUMIFS(Monthly!$D:$D,Monthly!$B:$B,$A27,Monthly!$C:$C,$B27)</f>
        <v>0</v>
      </c>
      <c r="D27" s="5" t="n">
        <f aca="false">SUMIFS(Transactions!$E:$E,Transactions!$G:$G,$A27,Transactions!$H:$H,$B27,Transactions!$J:$J,$B$3,Transactions!$K:$K,$D$3)</f>
        <v>0</v>
      </c>
      <c r="E27" s="5" t="n">
        <f aca="false">C27-D27</f>
        <v>0</v>
      </c>
      <c r="F27" s="15" t="n">
        <f aca="false">IFERROR(D27/C27,0)</f>
        <v>0</v>
      </c>
      <c r="G27" s="16" t="str">
        <f aca="false">IF(C27=0,IF(D27&gt;0,"No budget","—"),IF(D27&gt;C27,"OVER",IF(D27/C27&gt;=0.9,"Close","OK")))</f>
        <v>—</v>
      </c>
    </row>
    <row r="28" customFormat="false" ht="15" hidden="false" customHeight="false" outlineLevel="0" collapsed="false">
      <c r="A28" s="2" t="s">
        <v>87</v>
      </c>
      <c r="B28" s="2" t="s">
        <v>88</v>
      </c>
      <c r="C28" s="5" t="n">
        <f aca="false">SUMIFS(Monthly!$D:$D,Monthly!$B:$B,$A28,Monthly!$C:$C,$B28)</f>
        <v>600</v>
      </c>
      <c r="D28" s="5" t="n">
        <f aca="false">SUMIFS(Transactions!$E:$E,Transactions!$G:$G,$A28,Transactions!$H:$H,$B28,Transactions!$J:$J,$B$3,Transactions!$K:$K,$D$3)</f>
        <v>0</v>
      </c>
      <c r="E28" s="5" t="n">
        <f aca="false">C28-D28</f>
        <v>600</v>
      </c>
      <c r="F28" s="15" t="n">
        <f aca="false">IFERROR(D28/C28,0)</f>
        <v>0</v>
      </c>
      <c r="G28" s="16" t="str">
        <f aca="false">IF(C28=0,IF(D28&gt;0,"No budget","—"),IF(D28&gt;C28,"OVER",IF(D28/C28&gt;=0.9,"Close","OK")))</f>
        <v>OK</v>
      </c>
    </row>
    <row r="29" customFormat="false" ht="15" hidden="false" customHeight="false" outlineLevel="0" collapsed="false">
      <c r="A29" s="2" t="s">
        <v>87</v>
      </c>
      <c r="B29" s="2" t="s">
        <v>89</v>
      </c>
      <c r="C29" s="5" t="n">
        <f aca="false">SUMIFS(Monthly!$D:$D,Monthly!$B:$B,$A29,Monthly!$C:$C,$B29)</f>
        <v>600</v>
      </c>
      <c r="D29" s="5" t="n">
        <f aca="false">SUMIFS(Transactions!$E:$E,Transactions!$G:$G,$A29,Transactions!$H:$H,$B29,Transactions!$J:$J,$B$3,Transactions!$K:$K,$D$3)</f>
        <v>0</v>
      </c>
      <c r="E29" s="5" t="n">
        <f aca="false">C29-D29</f>
        <v>600</v>
      </c>
      <c r="F29" s="15" t="n">
        <f aca="false">IFERROR(D29/C29,0)</f>
        <v>0</v>
      </c>
      <c r="G29" s="16" t="str">
        <f aca="false">IF(C29=0,IF(D29&gt;0,"No budget","—"),IF(D29&gt;C29,"OVER",IF(D29/C29&gt;=0.9,"Close","OK")))</f>
        <v>OK</v>
      </c>
    </row>
    <row r="30" customFormat="false" ht="15" hidden="false" customHeight="false" outlineLevel="0" collapsed="false">
      <c r="A30" s="2" t="s">
        <v>87</v>
      </c>
      <c r="B30" s="2" t="s">
        <v>90</v>
      </c>
      <c r="C30" s="5" t="n">
        <f aca="false">SUMIFS(Monthly!$D:$D,Monthly!$B:$B,$A30,Monthly!$C:$C,$B30)</f>
        <v>450</v>
      </c>
      <c r="D30" s="5" t="n">
        <f aca="false">SUMIFS(Transactions!$E:$E,Transactions!$G:$G,$A30,Transactions!$H:$H,$B30,Transactions!$J:$J,$B$3,Transactions!$K:$K,$D$3)</f>
        <v>0</v>
      </c>
      <c r="E30" s="5" t="n">
        <f aca="false">C30-D30</f>
        <v>450</v>
      </c>
      <c r="F30" s="15" t="n">
        <f aca="false">IFERROR(D30/C30,0)</f>
        <v>0</v>
      </c>
      <c r="G30" s="16" t="str">
        <f aca="false">IF(C30=0,IF(D30&gt;0,"No budget","—"),IF(D30&gt;C30,"OVER",IF(D30/C30&gt;=0.9,"Close","OK")))</f>
        <v>OK</v>
      </c>
    </row>
    <row r="31" customFormat="false" ht="15" hidden="false" customHeight="false" outlineLevel="0" collapsed="false">
      <c r="A31" s="2" t="s">
        <v>87</v>
      </c>
      <c r="B31" s="2" t="s">
        <v>91</v>
      </c>
      <c r="C31" s="5" t="n">
        <f aca="false">SUMIFS(Monthly!$D:$D,Monthly!$B:$B,$A31,Monthly!$C:$C,$B31)</f>
        <v>300</v>
      </c>
      <c r="D31" s="5" t="n">
        <f aca="false">SUMIFS(Transactions!$E:$E,Transactions!$G:$G,$A31,Transactions!$H:$H,$B31,Transactions!$J:$J,$B$3,Transactions!$K:$K,$D$3)</f>
        <v>0</v>
      </c>
      <c r="E31" s="5" t="n">
        <f aca="false">C31-D31</f>
        <v>300</v>
      </c>
      <c r="F31" s="15" t="n">
        <f aca="false">IFERROR(D31/C31,0)</f>
        <v>0</v>
      </c>
      <c r="G31" s="16" t="str">
        <f aca="false">IF(C31=0,IF(D31&gt;0,"No budget","—"),IF(D31&gt;C31,"OVER",IF(D31/C31&gt;=0.9,"Close","OK")))</f>
        <v>OK</v>
      </c>
    </row>
    <row r="32" customFormat="false" ht="15" hidden="false" customHeight="false" outlineLevel="0" collapsed="false">
      <c r="A32" s="2" t="s">
        <v>87</v>
      </c>
      <c r="B32" s="2" t="s">
        <v>92</v>
      </c>
      <c r="C32" s="5" t="n">
        <f aca="false">SUMIFS(Monthly!$D:$D,Monthly!$B:$B,$A32,Monthly!$C:$C,$B32)</f>
        <v>600</v>
      </c>
      <c r="D32" s="5" t="n">
        <f aca="false">SUMIFS(Transactions!$E:$E,Transactions!$G:$G,$A32,Transactions!$H:$H,$B32,Transactions!$J:$J,$B$3,Transactions!$K:$K,$D$3)</f>
        <v>0</v>
      </c>
      <c r="E32" s="5" t="n">
        <f aca="false">C32-D32</f>
        <v>600</v>
      </c>
      <c r="F32" s="15" t="n">
        <f aca="false">IFERROR(D32/C32,0)</f>
        <v>0</v>
      </c>
      <c r="G32" s="16" t="str">
        <f aca="false">IF(C32=0,IF(D32&gt;0,"No budget","—"),IF(D32&gt;C32,"OVER",IF(D32/C32&gt;=0.9,"Close","OK")))</f>
        <v>OK</v>
      </c>
    </row>
    <row r="33" customFormat="false" ht="15" hidden="false" customHeight="false" outlineLevel="0" collapsed="false">
      <c r="A33" s="2" t="s">
        <v>87</v>
      </c>
      <c r="B33" s="2" t="s">
        <v>93</v>
      </c>
      <c r="C33" s="5" t="n">
        <f aca="false">SUMIFS(Monthly!$D:$D,Monthly!$B:$B,$A33,Monthly!$C:$C,$B33)</f>
        <v>1000</v>
      </c>
      <c r="D33" s="5" t="n">
        <f aca="false">SUMIFS(Transactions!$E:$E,Transactions!$G:$G,$A33,Transactions!$H:$H,$B33,Transactions!$J:$J,$B$3,Transactions!$K:$K,$D$3)</f>
        <v>0</v>
      </c>
      <c r="E33" s="5" t="n">
        <f aca="false">C33-D33</f>
        <v>1000</v>
      </c>
      <c r="F33" s="15" t="n">
        <f aca="false">IFERROR(D33/C33,0)</f>
        <v>0</v>
      </c>
      <c r="G33" s="16" t="str">
        <f aca="false">IF(C33=0,IF(D33&gt;0,"No budget","—"),IF(D33&gt;C33,"OVER",IF(D33/C33&gt;=0.9,"Close","OK")))</f>
        <v>OK</v>
      </c>
    </row>
    <row r="34" customFormat="false" ht="15" hidden="false" customHeight="false" outlineLevel="0" collapsed="false">
      <c r="A34" s="2" t="s">
        <v>94</v>
      </c>
      <c r="B34" s="2" t="s">
        <v>95</v>
      </c>
      <c r="C34" s="5" t="n">
        <f aca="false">SUMIFS(Monthly!$D:$D,Monthly!$B:$B,$A34,Monthly!$C:$C,$B34)</f>
        <v>360</v>
      </c>
      <c r="D34" s="5" t="n">
        <f aca="false">SUMIFS(Transactions!$E:$E,Transactions!$G:$G,$A34,Transactions!$H:$H,$B34,Transactions!$J:$J,$B$3,Transactions!$K:$K,$D$3)</f>
        <v>0</v>
      </c>
      <c r="E34" s="5" t="n">
        <f aca="false">C34-D34</f>
        <v>360</v>
      </c>
      <c r="F34" s="15" t="n">
        <f aca="false">IFERROR(D34/C34,0)</f>
        <v>0</v>
      </c>
      <c r="G34" s="16" t="str">
        <f aca="false">IF(C34=0,IF(D34&gt;0,"No budget","—"),IF(D34&gt;C34,"OVER",IF(D34/C34&gt;=0.9,"Close","OK")))</f>
        <v>OK</v>
      </c>
    </row>
    <row r="35" customFormat="false" ht="15" hidden="false" customHeight="false" outlineLevel="0" collapsed="false">
      <c r="A35" s="2" t="s">
        <v>94</v>
      </c>
      <c r="B35" s="2" t="s">
        <v>96</v>
      </c>
      <c r="C35" s="5" t="n">
        <f aca="false">SUMIFS(Monthly!$D:$D,Monthly!$B:$B,$A35,Monthly!$C:$C,$B35)</f>
        <v>800</v>
      </c>
      <c r="D35" s="5" t="n">
        <f aca="false">SUMIFS(Transactions!$E:$E,Transactions!$G:$G,$A35,Transactions!$H:$H,$B35,Transactions!$J:$J,$B$3,Transactions!$K:$K,$D$3)</f>
        <v>0</v>
      </c>
      <c r="E35" s="5" t="n">
        <f aca="false">C35-D35</f>
        <v>800</v>
      </c>
      <c r="F35" s="15" t="n">
        <f aca="false">IFERROR(D35/C35,0)</f>
        <v>0</v>
      </c>
      <c r="G35" s="16" t="str">
        <f aca="false">IF(C35=0,IF(D35&gt;0,"No budget","—"),IF(D35&gt;C35,"OVER",IF(D35/C35&gt;=0.9,"Close","OK")))</f>
        <v>OK</v>
      </c>
    </row>
    <row r="36" customFormat="false" ht="15" hidden="false" customHeight="false" outlineLevel="0" collapsed="false">
      <c r="A36" s="2" t="s">
        <v>94</v>
      </c>
      <c r="B36" s="2" t="s">
        <v>97</v>
      </c>
      <c r="C36" s="5" t="n">
        <f aca="false">SUMIFS(Monthly!$D:$D,Monthly!$B:$B,$A36,Monthly!$C:$C,$B36)</f>
        <v>0</v>
      </c>
      <c r="D36" s="5" t="n">
        <f aca="false">SUMIFS(Transactions!$E:$E,Transactions!$G:$G,$A36,Transactions!$H:$H,$B36,Transactions!$J:$J,$B$3,Transactions!$K:$K,$D$3)</f>
        <v>0</v>
      </c>
      <c r="E36" s="5" t="n">
        <f aca="false">C36-D36</f>
        <v>0</v>
      </c>
      <c r="F36" s="15" t="n">
        <f aca="false">IFERROR(D36/C36,0)</f>
        <v>0</v>
      </c>
      <c r="G36" s="16" t="str">
        <f aca="false">IF(C36=0,IF(D36&gt;0,"No budget","—"),IF(D36&gt;C36,"OVER",IF(D36/C36&gt;=0.9,"Close","OK")))</f>
        <v>—</v>
      </c>
    </row>
    <row r="37" customFormat="false" ht="15" hidden="false" customHeight="false" outlineLevel="0" collapsed="false">
      <c r="A37" s="2" t="s">
        <v>94</v>
      </c>
      <c r="B37" s="2" t="s">
        <v>98</v>
      </c>
      <c r="C37" s="5" t="n">
        <f aca="false">SUMIFS(Monthly!$D:$D,Monthly!$B:$B,$A37,Monthly!$C:$C,$B37)</f>
        <v>0</v>
      </c>
      <c r="D37" s="5" t="n">
        <f aca="false">SUMIFS(Transactions!$E:$E,Transactions!$G:$G,$A37,Transactions!$H:$H,$B37,Transactions!$J:$J,$B$3,Transactions!$K:$K,$D$3)</f>
        <v>0</v>
      </c>
      <c r="E37" s="5" t="n">
        <f aca="false">C37-D37</f>
        <v>0</v>
      </c>
      <c r="F37" s="15" t="n">
        <f aca="false">IFERROR(D37/C37,0)</f>
        <v>0</v>
      </c>
      <c r="G37" s="16" t="str">
        <f aca="false">IF(C37=0,IF(D37&gt;0,"No budget","—"),IF(D37&gt;C37,"OVER",IF(D37/C37&gt;=0.9,"Close","OK")))</f>
        <v>—</v>
      </c>
    </row>
    <row r="38" customFormat="false" ht="15" hidden="false" customHeight="false" outlineLevel="0" collapsed="false">
      <c r="A38" s="2" t="s">
        <v>94</v>
      </c>
      <c r="B38" s="2" t="s">
        <v>99</v>
      </c>
      <c r="C38" s="5" t="n">
        <f aca="false">SUMIFS(Monthly!$D:$D,Monthly!$B:$B,$A38,Monthly!$C:$C,$B38)</f>
        <v>0</v>
      </c>
      <c r="D38" s="5" t="n">
        <f aca="false">SUMIFS(Transactions!$E:$E,Transactions!$G:$G,$A38,Transactions!$H:$H,$B38,Transactions!$J:$J,$B$3,Transactions!$K:$K,$D$3)</f>
        <v>0</v>
      </c>
      <c r="E38" s="5" t="n">
        <f aca="false">C38-D38</f>
        <v>0</v>
      </c>
      <c r="F38" s="15" t="n">
        <f aca="false">IFERROR(D38/C38,0)</f>
        <v>0</v>
      </c>
      <c r="G38" s="16" t="str">
        <f aca="false">IF(C38=0,IF(D38&gt;0,"No budget","—"),IF(D38&gt;C38,"OVER",IF(D38/C38&gt;=0.9,"Close","OK")))</f>
        <v>—</v>
      </c>
    </row>
    <row r="39" customFormat="false" ht="15" hidden="false" customHeight="false" outlineLevel="0" collapsed="false">
      <c r="A39" s="2" t="s">
        <v>100</v>
      </c>
      <c r="B39" s="2" t="s">
        <v>101</v>
      </c>
      <c r="C39" s="5" t="n">
        <f aca="false">SUMIFS(Monthly!$D:$D,Monthly!$B:$B,$A39,Monthly!$C:$C,$B39)</f>
        <v>2940</v>
      </c>
      <c r="D39" s="5" t="n">
        <f aca="false">SUMIFS(Transactions!$E:$E,Transactions!$G:$G,$A39,Transactions!$H:$H,$B39,Transactions!$J:$J,$B$3,Transactions!$K:$K,$D$3)</f>
        <v>0</v>
      </c>
      <c r="E39" s="5" t="n">
        <f aca="false">C39-D39</f>
        <v>2940</v>
      </c>
      <c r="F39" s="15" t="n">
        <f aca="false">IFERROR(D39/C39,0)</f>
        <v>0</v>
      </c>
      <c r="G39" s="16" t="str">
        <f aca="false">IF(C39=0,IF(D39&gt;0,"No budget","—"),IF(D39&gt;C39,"OVER",IF(D39/C39&gt;=0.9,"Close","OK")))</f>
        <v>OK</v>
      </c>
    </row>
    <row r="40" customFormat="false" ht="15" hidden="false" customHeight="false" outlineLevel="0" collapsed="false">
      <c r="A40" s="2" t="s">
        <v>100</v>
      </c>
      <c r="B40" s="2" t="s">
        <v>102</v>
      </c>
      <c r="C40" s="5" t="n">
        <f aca="false">SUMIFS(Monthly!$D:$D,Monthly!$B:$B,$A40,Monthly!$C:$C,$B40)</f>
        <v>920</v>
      </c>
      <c r="D40" s="5" t="n">
        <f aca="false">SUMIFS(Transactions!$E:$E,Transactions!$G:$G,$A40,Transactions!$H:$H,$B40,Transactions!$J:$J,$B$3,Transactions!$K:$K,$D$3)</f>
        <v>0</v>
      </c>
      <c r="E40" s="5" t="n">
        <f aca="false">C40-D40</f>
        <v>920</v>
      </c>
      <c r="F40" s="15" t="n">
        <f aca="false">IFERROR(D40/C40,0)</f>
        <v>0</v>
      </c>
      <c r="G40" s="16" t="str">
        <f aca="false">IF(C40=0,IF(D40&gt;0,"No budget","—"),IF(D40&gt;C40,"OVER",IF(D40/C40&gt;=0.9,"Close","OK")))</f>
        <v>OK</v>
      </c>
    </row>
    <row r="41" customFormat="false" ht="15" hidden="false" customHeight="false" outlineLevel="0" collapsed="false">
      <c r="A41" s="2" t="s">
        <v>100</v>
      </c>
      <c r="B41" s="2" t="s">
        <v>103</v>
      </c>
      <c r="C41" s="5" t="n">
        <f aca="false">SUMIFS(Monthly!$D:$D,Monthly!$B:$B,$A41,Monthly!$C:$C,$B41)</f>
        <v>340</v>
      </c>
      <c r="D41" s="5" t="n">
        <f aca="false">SUMIFS(Transactions!$E:$E,Transactions!$G:$G,$A41,Transactions!$H:$H,$B41,Transactions!$J:$J,$B$3,Transactions!$K:$K,$D$3)</f>
        <v>0</v>
      </c>
      <c r="E41" s="5" t="n">
        <f aca="false">C41-D41</f>
        <v>340</v>
      </c>
      <c r="F41" s="15" t="n">
        <f aca="false">IFERROR(D41/C41,0)</f>
        <v>0</v>
      </c>
      <c r="G41" s="16" t="str">
        <f aca="false">IF(C41=0,IF(D41&gt;0,"No budget","—"),IF(D41&gt;C41,"OVER",IF(D41/C41&gt;=0.9,"Close","OK")))</f>
        <v>OK</v>
      </c>
    </row>
    <row r="42" customFormat="false" ht="15" hidden="false" customHeight="false" outlineLevel="0" collapsed="false">
      <c r="A42" s="2" t="s">
        <v>100</v>
      </c>
      <c r="B42" s="2" t="s">
        <v>104</v>
      </c>
      <c r="C42" s="5" t="n">
        <f aca="false">SUMIFS(Monthly!$D:$D,Monthly!$B:$B,$A42,Monthly!$C:$C,$B42)</f>
        <v>0</v>
      </c>
      <c r="D42" s="5" t="n">
        <f aca="false">SUMIFS(Transactions!$E:$E,Transactions!$G:$G,$A42,Transactions!$H:$H,$B42,Transactions!$J:$J,$B$3,Transactions!$K:$K,$D$3)</f>
        <v>0</v>
      </c>
      <c r="E42" s="5" t="n">
        <f aca="false">C42-D42</f>
        <v>0</v>
      </c>
      <c r="F42" s="15" t="n">
        <f aca="false">IFERROR(D42/C42,0)</f>
        <v>0</v>
      </c>
      <c r="G42" s="16" t="str">
        <f aca="false">IF(C42=0,IF(D42&gt;0,"No budget","—"),IF(D42&gt;C42,"OVER",IF(D42/C42&gt;=0.9,"Close","OK")))</f>
        <v>—</v>
      </c>
    </row>
    <row r="43" customFormat="false" ht="15" hidden="false" customHeight="false" outlineLevel="0" collapsed="false">
      <c r="A43" s="13"/>
      <c r="B43" s="10" t="s">
        <v>111</v>
      </c>
      <c r="C43" s="11" t="n">
        <f aca="false">SUM(C6:C42)</f>
        <v>18967.76</v>
      </c>
      <c r="D43" s="11" t="n">
        <f aca="false">SUM(D6:D42)</f>
        <v>245.5</v>
      </c>
      <c r="E43" s="11" t="n">
        <f aca="false">C43-D43</f>
        <v>18722.26</v>
      </c>
      <c r="F43" s="17" t="n">
        <f aca="false">IFERROR(D43/C43,0)</f>
        <v>0.0129430148842035</v>
      </c>
      <c r="G43" s="13"/>
    </row>
  </sheetData>
  <conditionalFormatting sqref="G6:G42">
    <cfRule type="cellIs" priority="2" operator="equal" aboveAverage="0" equalAverage="0" bottom="0" percent="0" rank="0" text="" dxfId="0">
      <formula>"OVER"</formula>
    </cfRule>
    <cfRule type="cellIs" priority="3" operator="equal" aboveAverage="0" equalAverage="0" bottom="0" percent="0" rank="0" text="" dxfId="1">
      <formula>"Close"</formula>
    </cfRule>
    <cfRule type="cellIs" priority="4" operator="equal" aboveAverage="0" equalAverage="0" bottom="0" percent="0" rank="0" text="" dxfId="2">
      <formula>"OK"</formula>
    </cfRule>
  </conditionalFormatting>
  <conditionalFormatting sqref="F6:F42">
    <cfRule type="dataBar" priority="5">
      <dataBar showValue="1" minLength="10" maxLength="90">
        <cfvo type="num" val="0"/>
        <cfvo type="num" val="1"/>
        <color rgb="FF2A78D6"/>
      </dataBar>
      <extLst>
        <ext xmlns:x14="http://schemas.microsoft.com/office/spreadsheetml/2009/9/main" uri="{B025F937-C7B1-47D3-B67F-A62EFF666E3E}">
          <x14:id>{56762F53-3777-475A-ABE5-7D2B20BFA495}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762F53-3777-475A-ABE5-7D2B20BFA49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78D6"/>
              <x14:axisColor rgb="FF000000"/>
            </x14:dataBar>
          </x14:cfRule>
          <xm:sqref>F6:F42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4" t="s">
        <v>24</v>
      </c>
      <c r="B1" s="4" t="s">
        <v>25</v>
      </c>
      <c r="C1" s="4" t="s">
        <v>112</v>
      </c>
      <c r="E1" s="6" t="s">
        <v>113</v>
      </c>
    </row>
    <row r="2" customFormat="false" ht="15" hidden="false" customHeight="false" outlineLevel="0" collapsed="false">
      <c r="A2" s="2" t="s">
        <v>35</v>
      </c>
      <c r="B2" s="2" t="s">
        <v>65</v>
      </c>
      <c r="C2" s="5" t="n">
        <f aca="false">SUMIFS(Monthly!$D:$D,Monthly!$B:$B,$A2,Monthly!$C:$C,$B2)</f>
        <v>3465</v>
      </c>
      <c r="E2" s="6" t="s">
        <v>114</v>
      </c>
    </row>
    <row r="3" customFormat="false" ht="15" hidden="false" customHeight="false" outlineLevel="0" collapsed="false">
      <c r="A3" s="2" t="s">
        <v>35</v>
      </c>
      <c r="B3" s="2" t="s">
        <v>66</v>
      </c>
      <c r="C3" s="5" t="n">
        <f aca="false">SUMIFS(Monthly!$D:$D,Monthly!$B:$B,$A3,Monthly!$C:$C,$B3)</f>
        <v>210</v>
      </c>
    </row>
    <row r="4" customFormat="false" ht="15" hidden="false" customHeight="false" outlineLevel="0" collapsed="false">
      <c r="A4" s="2" t="s">
        <v>35</v>
      </c>
      <c r="B4" s="2" t="s">
        <v>67</v>
      </c>
      <c r="C4" s="5" t="n">
        <f aca="false">SUMIFS(Monthly!$D:$D,Monthly!$B:$B,$A4,Monthly!$C:$C,$B4)</f>
        <v>500</v>
      </c>
    </row>
    <row r="5" customFormat="false" ht="15" hidden="false" customHeight="false" outlineLevel="0" collapsed="false">
      <c r="A5" s="2" t="s">
        <v>35</v>
      </c>
      <c r="B5" s="2" t="s">
        <v>68</v>
      </c>
      <c r="C5" s="5" t="n">
        <f aca="false">SUMIFS(Monthly!$D:$D,Monthly!$B:$B,$A5,Monthly!$C:$C,$B5)</f>
        <v>30</v>
      </c>
    </row>
    <row r="6" customFormat="false" ht="15" hidden="false" customHeight="false" outlineLevel="0" collapsed="false">
      <c r="A6" s="2" t="s">
        <v>35</v>
      </c>
      <c r="B6" s="2" t="s">
        <v>69</v>
      </c>
      <c r="C6" s="5" t="n">
        <f aca="false">SUMIFS(Monthly!$D:$D,Monthly!$B:$B,$A6,Monthly!$C:$C,$B6)</f>
        <v>326.76</v>
      </c>
    </row>
    <row r="7" customFormat="false" ht="15" hidden="false" customHeight="false" outlineLevel="0" collapsed="false">
      <c r="A7" s="2" t="s">
        <v>35</v>
      </c>
      <c r="B7" s="2" t="s">
        <v>70</v>
      </c>
      <c r="C7" s="5" t="n">
        <f aca="false">SUMIFS(Monthly!$D:$D,Monthly!$B:$B,$A7,Monthly!$C:$C,$B7)</f>
        <v>145</v>
      </c>
    </row>
    <row r="8" customFormat="false" ht="15" hidden="false" customHeight="false" outlineLevel="0" collapsed="false">
      <c r="A8" s="2" t="s">
        <v>35</v>
      </c>
      <c r="B8" s="2" t="s">
        <v>71</v>
      </c>
      <c r="C8" s="5" t="n">
        <f aca="false">SUMIFS(Monthly!$D:$D,Monthly!$B:$B,$A8,Monthly!$C:$C,$B8)</f>
        <v>1000</v>
      </c>
    </row>
    <row r="9" customFormat="false" ht="15" hidden="false" customHeight="false" outlineLevel="0" collapsed="false">
      <c r="A9" s="2" t="s">
        <v>35</v>
      </c>
      <c r="B9" s="2" t="s">
        <v>72</v>
      </c>
      <c r="C9" s="5" t="n">
        <f aca="false">SUMIFS(Monthly!$D:$D,Monthly!$B:$B,$A9,Monthly!$C:$C,$B9)</f>
        <v>35</v>
      </c>
    </row>
    <row r="10" customFormat="false" ht="15" hidden="false" customHeight="false" outlineLevel="0" collapsed="false">
      <c r="A10" s="2" t="s">
        <v>35</v>
      </c>
      <c r="B10" s="2" t="s">
        <v>73</v>
      </c>
      <c r="C10" s="5" t="n">
        <f aca="false">SUMIFS(Monthly!$D:$D,Monthly!$B:$B,$A10,Monthly!$C:$C,$B10)</f>
        <v>50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5" t="n">
        <f aca="false">SUMIFS(Monthly!$D:$D,Monthly!$B:$B,$A11,Monthly!$C:$C,$B11)</f>
        <v>600</v>
      </c>
    </row>
    <row r="12" customFormat="false" ht="15" hidden="false" customHeight="false" outlineLevel="0" collapsed="false">
      <c r="A12" s="2" t="s">
        <v>35</v>
      </c>
      <c r="B12" s="2" t="s">
        <v>74</v>
      </c>
      <c r="C12" s="5" t="n">
        <f aca="false">SUMIFS(Monthly!$D:$D,Monthly!$B:$B,$A12,Monthly!$C:$C,$B12)</f>
        <v>210</v>
      </c>
    </row>
    <row r="13" customFormat="false" ht="15" hidden="false" customHeight="false" outlineLevel="0" collapsed="false">
      <c r="A13" s="2" t="s">
        <v>35</v>
      </c>
      <c r="B13" s="2" t="s">
        <v>75</v>
      </c>
      <c r="C13" s="5" t="n">
        <f aca="false">SUMIFS(Monthly!$D:$D,Monthly!$B:$B,$A13,Monthly!$C:$C,$B13)</f>
        <v>1176</v>
      </c>
    </row>
    <row r="14" customFormat="false" ht="15" hidden="false" customHeight="false" outlineLevel="0" collapsed="false">
      <c r="A14" s="2" t="s">
        <v>35</v>
      </c>
      <c r="B14" s="2" t="s">
        <v>76</v>
      </c>
      <c r="C14" s="5" t="n">
        <f aca="false">SUMIFS(Monthly!$D:$D,Monthly!$B:$B,$A14,Monthly!$C:$C,$B14)</f>
        <v>0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5" t="n">
        <f aca="false">SUMIFS(Monthly!$D:$D,Monthly!$B:$B,$A15,Monthly!$C:$C,$B15)</f>
        <v>1500</v>
      </c>
    </row>
    <row r="16" customFormat="false" ht="15" hidden="false" customHeight="false" outlineLevel="0" collapsed="false">
      <c r="A16" s="2" t="s">
        <v>77</v>
      </c>
      <c r="B16" s="2" t="s">
        <v>79</v>
      </c>
      <c r="C16" s="5" t="n">
        <f aca="false">SUMIFS(Monthly!$D:$D,Monthly!$B:$B,$A16,Monthly!$C:$C,$B16)</f>
        <v>400</v>
      </c>
    </row>
    <row r="17" customFormat="false" ht="15" hidden="false" customHeight="false" outlineLevel="0" collapsed="false">
      <c r="A17" s="2" t="s">
        <v>77</v>
      </c>
      <c r="B17" s="2" t="s">
        <v>80</v>
      </c>
      <c r="C17" s="5" t="n">
        <f aca="false">SUMIFS(Monthly!$D:$D,Monthly!$B:$B,$A17,Monthly!$C:$C,$B17)</f>
        <v>100</v>
      </c>
    </row>
    <row r="18" customFormat="false" ht="15" hidden="false" customHeight="false" outlineLevel="0" collapsed="false">
      <c r="A18" s="2" t="s">
        <v>77</v>
      </c>
      <c r="B18" s="2" t="s">
        <v>81</v>
      </c>
      <c r="C18" s="5" t="n">
        <f aca="false">SUMIFS(Monthly!$D:$D,Monthly!$B:$B,$A18,Monthly!$C:$C,$B18)</f>
        <v>210</v>
      </c>
    </row>
    <row r="19" customFormat="false" ht="15" hidden="false" customHeight="false" outlineLevel="0" collapsed="false">
      <c r="A19" s="2" t="s">
        <v>77</v>
      </c>
      <c r="B19" s="2" t="s">
        <v>82</v>
      </c>
      <c r="C19" s="5" t="n">
        <f aca="false">SUMIFS(Monthly!$D:$D,Monthly!$B:$B,$A19,Monthly!$C:$C,$B19)</f>
        <v>50</v>
      </c>
    </row>
    <row r="20" customFormat="false" ht="15" hidden="false" customHeight="false" outlineLevel="0" collapsed="false">
      <c r="A20" s="2" t="s">
        <v>77</v>
      </c>
      <c r="B20" s="2" t="s">
        <v>83</v>
      </c>
      <c r="C20" s="5" t="n">
        <f aca="false">SUMIFS(Monthly!$D:$D,Monthly!$B:$B,$A20,Monthly!$C:$C,$B20)</f>
        <v>0</v>
      </c>
    </row>
    <row r="21" customFormat="false" ht="15" hidden="false" customHeight="false" outlineLevel="0" collapsed="false">
      <c r="A21" s="2" t="s">
        <v>77</v>
      </c>
      <c r="B21" s="2" t="s">
        <v>84</v>
      </c>
      <c r="C21" s="5" t="n">
        <f aca="false">SUMIFS(Monthly!$D:$D,Monthly!$B:$B,$A21,Monthly!$C:$C,$B21)</f>
        <v>50</v>
      </c>
    </row>
    <row r="22" customFormat="false" ht="15" hidden="false" customHeight="false" outlineLevel="0" collapsed="false">
      <c r="A22" s="2" t="s">
        <v>77</v>
      </c>
      <c r="B22" s="2" t="s">
        <v>85</v>
      </c>
      <c r="C22" s="5" t="n">
        <f aca="false">SUMIFS(Monthly!$D:$D,Monthly!$B:$B,$A22,Monthly!$C:$C,$B22)</f>
        <v>0</v>
      </c>
    </row>
    <row r="23" customFormat="false" ht="15" hidden="false" customHeight="false" outlineLevel="0" collapsed="false">
      <c r="A23" s="2" t="s">
        <v>77</v>
      </c>
      <c r="B23" s="2" t="s">
        <v>86</v>
      </c>
      <c r="C23" s="5" t="n">
        <f aca="false">SUMIFS(Monthly!$D:$D,Monthly!$B:$B,$A23,Monthly!$C:$C,$B23)</f>
        <v>0</v>
      </c>
    </row>
    <row r="24" customFormat="false" ht="15" hidden="false" customHeight="false" outlineLevel="0" collapsed="false">
      <c r="A24" s="2" t="s">
        <v>87</v>
      </c>
      <c r="B24" s="2" t="s">
        <v>88</v>
      </c>
      <c r="C24" s="5" t="n">
        <f aca="false">SUMIFS(Monthly!$D:$D,Monthly!$B:$B,$A24,Monthly!$C:$C,$B24)</f>
        <v>600</v>
      </c>
    </row>
    <row r="25" customFormat="false" ht="15" hidden="false" customHeight="false" outlineLevel="0" collapsed="false">
      <c r="A25" s="2" t="s">
        <v>87</v>
      </c>
      <c r="B25" s="2" t="s">
        <v>89</v>
      </c>
      <c r="C25" s="5" t="n">
        <f aca="false">SUMIFS(Monthly!$D:$D,Monthly!$B:$B,$A25,Monthly!$C:$C,$B25)</f>
        <v>600</v>
      </c>
    </row>
    <row r="26" customFormat="false" ht="15" hidden="false" customHeight="false" outlineLevel="0" collapsed="false">
      <c r="A26" s="2" t="s">
        <v>87</v>
      </c>
      <c r="B26" s="2" t="s">
        <v>90</v>
      </c>
      <c r="C26" s="5" t="n">
        <f aca="false">SUMIFS(Monthly!$D:$D,Monthly!$B:$B,$A26,Monthly!$C:$C,$B26)</f>
        <v>450</v>
      </c>
    </row>
    <row r="27" customFormat="false" ht="15" hidden="false" customHeight="false" outlineLevel="0" collapsed="false">
      <c r="A27" s="2" t="s">
        <v>87</v>
      </c>
      <c r="B27" s="2" t="s">
        <v>91</v>
      </c>
      <c r="C27" s="5" t="n">
        <f aca="false">SUMIFS(Monthly!$D:$D,Monthly!$B:$B,$A27,Monthly!$C:$C,$B27)</f>
        <v>300</v>
      </c>
    </row>
    <row r="28" customFormat="false" ht="15" hidden="false" customHeight="false" outlineLevel="0" collapsed="false">
      <c r="A28" s="2" t="s">
        <v>87</v>
      </c>
      <c r="B28" s="2" t="s">
        <v>92</v>
      </c>
      <c r="C28" s="5" t="n">
        <f aca="false">SUMIFS(Monthly!$D:$D,Monthly!$B:$B,$A28,Monthly!$C:$C,$B28)</f>
        <v>600</v>
      </c>
    </row>
    <row r="29" customFormat="false" ht="15" hidden="false" customHeight="false" outlineLevel="0" collapsed="false">
      <c r="A29" s="2" t="s">
        <v>87</v>
      </c>
      <c r="B29" s="2" t="s">
        <v>93</v>
      </c>
      <c r="C29" s="5" t="n">
        <f aca="false">SUMIFS(Monthly!$D:$D,Monthly!$B:$B,$A29,Monthly!$C:$C,$B29)</f>
        <v>1000</v>
      </c>
    </row>
    <row r="30" customFormat="false" ht="15" hidden="false" customHeight="false" outlineLevel="0" collapsed="false">
      <c r="A30" s="2" t="s">
        <v>94</v>
      </c>
      <c r="B30" s="2" t="s">
        <v>95</v>
      </c>
      <c r="C30" s="5" t="n">
        <f aca="false">SUMIFS(Monthly!$D:$D,Monthly!$B:$B,$A30,Monthly!$C:$C,$B30)</f>
        <v>360</v>
      </c>
    </row>
    <row r="31" customFormat="false" ht="15" hidden="false" customHeight="false" outlineLevel="0" collapsed="false">
      <c r="A31" s="2" t="s">
        <v>94</v>
      </c>
      <c r="B31" s="2" t="s">
        <v>96</v>
      </c>
      <c r="C31" s="5" t="n">
        <f aca="false">SUMIFS(Monthly!$D:$D,Monthly!$B:$B,$A31,Monthly!$C:$C,$B31)</f>
        <v>800</v>
      </c>
    </row>
    <row r="32" customFormat="false" ht="15" hidden="false" customHeight="false" outlineLevel="0" collapsed="false">
      <c r="A32" s="2" t="s">
        <v>94</v>
      </c>
      <c r="B32" s="2" t="s">
        <v>97</v>
      </c>
      <c r="C32" s="5" t="n">
        <f aca="false">SUMIFS(Monthly!$D:$D,Monthly!$B:$B,$A32,Monthly!$C:$C,$B32)</f>
        <v>0</v>
      </c>
    </row>
    <row r="33" customFormat="false" ht="15" hidden="false" customHeight="false" outlineLevel="0" collapsed="false">
      <c r="A33" s="2" t="s">
        <v>94</v>
      </c>
      <c r="B33" s="2" t="s">
        <v>98</v>
      </c>
      <c r="C33" s="5" t="n">
        <f aca="false">SUMIFS(Monthly!$D:$D,Monthly!$B:$B,$A33,Monthly!$C:$C,$B33)</f>
        <v>0</v>
      </c>
    </row>
    <row r="34" customFormat="false" ht="15" hidden="false" customHeight="false" outlineLevel="0" collapsed="false">
      <c r="A34" s="2" t="s">
        <v>94</v>
      </c>
      <c r="B34" s="2" t="s">
        <v>99</v>
      </c>
      <c r="C34" s="5" t="n">
        <f aca="false">SUMIFS(Monthly!$D:$D,Monthly!$B:$B,$A34,Monthly!$C:$C,$B34)</f>
        <v>0</v>
      </c>
    </row>
    <row r="35" customFormat="false" ht="15" hidden="false" customHeight="false" outlineLevel="0" collapsed="false">
      <c r="A35" s="2" t="s">
        <v>100</v>
      </c>
      <c r="B35" s="2" t="s">
        <v>101</v>
      </c>
      <c r="C35" s="5" t="n">
        <f aca="false">SUMIFS(Monthly!$D:$D,Monthly!$B:$B,$A35,Monthly!$C:$C,$B35)</f>
        <v>2940</v>
      </c>
    </row>
    <row r="36" customFormat="false" ht="15" hidden="false" customHeight="false" outlineLevel="0" collapsed="false">
      <c r="A36" s="2" t="s">
        <v>100</v>
      </c>
      <c r="B36" s="2" t="s">
        <v>102</v>
      </c>
      <c r="C36" s="5" t="n">
        <f aca="false">SUMIFS(Monthly!$D:$D,Monthly!$B:$B,$A36,Monthly!$C:$C,$B36)</f>
        <v>920</v>
      </c>
    </row>
    <row r="37" customFormat="false" ht="15" hidden="false" customHeight="false" outlineLevel="0" collapsed="false">
      <c r="A37" s="2" t="s">
        <v>100</v>
      </c>
      <c r="B37" s="2" t="s">
        <v>103</v>
      </c>
      <c r="C37" s="5" t="n">
        <f aca="false">SUMIFS(Monthly!$D:$D,Monthly!$B:$B,$A37,Monthly!$C:$C,$B37)</f>
        <v>340</v>
      </c>
    </row>
    <row r="38" customFormat="false" ht="15" hidden="false" customHeight="false" outlineLevel="0" collapsed="false">
      <c r="A38" s="2" t="s">
        <v>100</v>
      </c>
      <c r="B38" s="2" t="s">
        <v>104</v>
      </c>
      <c r="C38" s="5" t="n">
        <f aca="false">SUMIFS(Monthly!$D:$D,Monthly!$B:$B,$A38,Monthly!$C:$C,$B38)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2026-08-27T17:13:59Z</dcterms:created>
  <dc:creator>openpyxl</dc:creator>
  <dc:description/>
  <dc:language>en-US</dc:language>
  <cp:lastModifiedBy/>
  <dcterms:modified xsi:type="dcterms:W3CDTF">2026-08-27T17:13:59Z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